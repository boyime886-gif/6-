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936" windowHeight="16776"/>
  </bookViews>
  <sheets>
    <sheet name="对比表格" sheetId="3" r:id="rId1"/>
    <sheet name="20轮平均值统计" sheetId="1" r:id="rId2"/>
    <sheet name="第20轮记录值" sheetId="2" r:id="rId3"/>
  </sheets>
  <definedNames>
    <definedName name="_xlnm._FilterDatabase" localSheetId="2" hidden="1">第20轮记录值!$A$1:$L$151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<sst xmlns="http://schemas.openxmlformats.org/spreadsheetml/2006/main" count="1435" uniqueCount="725">
  <si>
    <t>编号</t>
  </si>
  <si>
    <t>场景</t>
  </si>
  <si>
    <t>最优策略</t>
  </si>
  <si>
    <t>相对最优成本差距（%）</t>
  </si>
  <si>
    <t>成本标准差（std）</t>
  </si>
  <si>
    <t>CHEAPEST</t>
  </si>
  <si>
    <t>qburst</t>
  </si>
  <si>
    <t>LD_BAL</t>
  </si>
  <si>
    <t>WL_BAL</t>
  </si>
  <si>
    <t>Dsplit</t>
  </si>
  <si>
    <t>FULL</t>
  </si>
  <si>
    <t>90k×6，无价差</t>
  </si>
  <si>
    <t>32k×6，无价差</t>
  </si>
  <si>
    <t>32k→39k，无价差</t>
  </si>
  <si>
    <t>19k×6，无价差</t>
  </si>
  <si>
    <t>12k→25k，无价差</t>
  </si>
  <si>
    <r>
      <t>相对最低</t>
    </r>
    <r>
      <rPr>
        <b/>
        <sz val="11"/>
        <color rgb="FF000000"/>
        <rFont val="Calibri"/>
        <charset val="134"/>
      </rPr>
      <t>q95</t>
    </r>
    <r>
      <rPr>
        <b/>
        <sz val="11"/>
        <color rgb="FF000000"/>
        <rFont val="微软雅黑"/>
        <charset val="134"/>
      </rPr>
      <t>差距（</t>
    </r>
    <r>
      <rPr>
        <b/>
        <sz val="11"/>
        <color rgb="FF000000"/>
        <rFont val="Calibri"/>
        <charset val="134"/>
      </rPr>
      <t>%</t>
    </r>
    <r>
      <rPr>
        <b/>
        <sz val="11"/>
        <color rgb="FF000000"/>
        <rFont val="微软雅黑"/>
        <charset val="134"/>
      </rPr>
      <t>）</t>
    </r>
  </si>
  <si>
    <t>90k×5，价差 1.00→1.04</t>
  </si>
  <si>
    <t>cheapest</t>
  </si>
  <si>
    <t>32k×5，价差 1.00→1.04</t>
  </si>
  <si>
    <t>32k→38k，价差 1.00→1.04</t>
  </si>
  <si>
    <t>19k×5，价差 1.00→1.04</t>
  </si>
  <si>
    <t>12k→24k，价差 1.00→1.04</t>
  </si>
  <si>
    <t>90k×5，价差 1.00→1.08</t>
  </si>
  <si>
    <t>32k×5，价差 1.00→1.08</t>
  </si>
  <si>
    <t>32k→38k，价差 1.00→1.08</t>
  </si>
  <si>
    <t>19k×5，价差 1.00→1.08</t>
  </si>
  <si>
    <t>12k→24k，价差 1.00→1.08</t>
  </si>
  <si>
    <t>90k×5，价差 1.00→1.20</t>
  </si>
  <si>
    <t>32k×5，价差 1.00→1.20</t>
  </si>
  <si>
    <t>32k→38k，价差 1.00→1.20</t>
  </si>
  <si>
    <t>19k×5，价差 1.00→1.20</t>
  </si>
  <si>
    <t>12k→24k，价差 1.00→1.20</t>
  </si>
  <si>
    <t>90k×5，价差 1.00→1.40</t>
  </si>
  <si>
    <t>32k×5，价差 1.00→1.40</t>
  </si>
  <si>
    <t>32k→38k，价差 1.00→1.40</t>
  </si>
  <si>
    <t>19k×5，价差 1.00→1.40</t>
  </si>
  <si>
    <t>12k→24k，价差 1.00→1.40</t>
  </si>
  <si>
    <r>
      <t>各策略</t>
    </r>
    <r>
      <rPr>
        <b/>
        <sz val="11"/>
        <color rgb="FF000000"/>
        <rFont val="Calibri"/>
        <charset val="134"/>
      </rPr>
      <t>q95</t>
    </r>
    <r>
      <rPr>
        <b/>
        <sz val="11"/>
        <color rgb="FF000000"/>
        <rFont val="汉仪书宋二KW"/>
        <charset val="134"/>
      </rPr>
      <t>值</t>
    </r>
  </si>
  <si>
    <t>最优平均成本</t>
  </si>
  <si>
    <t>cheapest_gap%</t>
  </si>
  <si>
    <t>cheapest_平均成本</t>
  </si>
  <si>
    <t>cheapest_成本std</t>
  </si>
  <si>
    <t>cheapest_平均Q95</t>
  </si>
  <si>
    <t>qburst_gap%</t>
  </si>
  <si>
    <t>qburst_成本</t>
  </si>
  <si>
    <t>qburst_std</t>
  </si>
  <si>
    <t>qburst_Q95</t>
  </si>
  <si>
    <t>ld_bal_gap%</t>
  </si>
  <si>
    <t>ld_bal_平均成本</t>
  </si>
  <si>
    <t>ld_bal_成本std</t>
  </si>
  <si>
    <t>ld_bal_平均Q95</t>
  </si>
  <si>
    <t>wl_bal_gap%</t>
  </si>
  <si>
    <t>wl_bal_平均成本</t>
  </si>
  <si>
    <t>wl_bal_成本std</t>
  </si>
  <si>
    <t>wl_bal_平均Q95</t>
  </si>
  <si>
    <t>dsplit_gap%</t>
  </si>
  <si>
    <t>dsplit_成本</t>
  </si>
  <si>
    <t>dsplit_std</t>
  </si>
  <si>
    <t>dsplit_Q95</t>
  </si>
  <si>
    <t>full_gap%</t>
  </si>
  <si>
    <t>full_平均成本</t>
  </si>
  <si>
    <t>full_成本std</t>
  </si>
  <si>
    <t>full_平均Q95</t>
  </si>
  <si>
    <t>1</t>
  </si>
  <si>
    <t>90k×5, 无价差</t>
  </si>
  <si>
    <t>2</t>
  </si>
  <si>
    <t>32k×5, 无价差</t>
  </si>
  <si>
    <t>3</t>
  </si>
  <si>
    <t>32k→38k, 无价差</t>
  </si>
  <si>
    <t>4</t>
  </si>
  <si>
    <t>19k×5, 无价差</t>
  </si>
  <si>
    <t>5</t>
  </si>
  <si>
    <t>12k→24k, 无价差</t>
  </si>
  <si>
    <t>6</t>
  </si>
  <si>
    <t>90k×5, 价差1.00→1.04</t>
  </si>
  <si>
    <t>7</t>
  </si>
  <si>
    <t>32k×5, 价差1.00→1.04</t>
  </si>
  <si>
    <t>8</t>
  </si>
  <si>
    <t>32k→38k, 价差1.00→1.04</t>
  </si>
  <si>
    <t>9</t>
  </si>
  <si>
    <t>19k×5, 价差1.00→1.04</t>
  </si>
  <si>
    <t>10</t>
  </si>
  <si>
    <t>12k→24k, 价差1.00→1.04</t>
  </si>
  <si>
    <t>11</t>
  </si>
  <si>
    <t>90k×5, 价差1.00→1.08</t>
  </si>
  <si>
    <t>12</t>
  </si>
  <si>
    <t>32k×5, 价差1.00→1.08</t>
  </si>
  <si>
    <t>13</t>
  </si>
  <si>
    <t>32k→38k, 价差1.00→1.08</t>
  </si>
  <si>
    <t>14</t>
  </si>
  <si>
    <t>19k×5, 价差1.00→1.08</t>
  </si>
  <si>
    <t>15</t>
  </si>
  <si>
    <t>12k→24k, 价差1.00→1.08</t>
  </si>
  <si>
    <t>16</t>
  </si>
  <si>
    <t>90k×5, 价差1.00→1.20</t>
  </si>
  <si>
    <t>17</t>
  </si>
  <si>
    <t>32k×5, 价差1.00→1.20</t>
  </si>
  <si>
    <t>18</t>
  </si>
  <si>
    <t>32k→38k, 价差1.00→1.20</t>
  </si>
  <si>
    <t>19</t>
  </si>
  <si>
    <t>19k×5, 价差1.00→1.20</t>
  </si>
  <si>
    <t>20</t>
  </si>
  <si>
    <t>12k→24k, 价差1.00→1.20</t>
  </si>
  <si>
    <t>21</t>
  </si>
  <si>
    <t>90k×5, 价差1.00→1.40</t>
  </si>
  <si>
    <t>22</t>
  </si>
  <si>
    <t>32k×5, 价差1.00→1.40</t>
  </si>
  <si>
    <t>23</t>
  </si>
  <si>
    <t>32k→38k, 价差1.00→1.40</t>
  </si>
  <si>
    <t>24</t>
  </si>
  <si>
    <t>19k×5, 价差1.00→1.40</t>
  </si>
  <si>
    <t>25</t>
  </si>
  <si>
    <t>12k→24k, 价差1.00→1.40</t>
  </si>
  <si>
    <t>策略</t>
  </si>
  <si>
    <t>成本</t>
  </si>
  <si>
    <t>gap%</t>
  </si>
  <si>
    <t>总Q95</t>
  </si>
  <si>
    <t>S1_Q95(负载率)</t>
  </si>
  <si>
    <t>S2_Q95(负载率)</t>
  </si>
  <si>
    <t>S3_Q95(负载率)</t>
  </si>
  <si>
    <t>S4_Q95(负载率)</t>
  </si>
  <si>
    <t>S5_Q95(负载率)</t>
  </si>
  <si>
    <t>是否最优</t>
  </si>
  <si>
    <t>15511(17.2%)</t>
  </si>
  <si>
    <t>15437(17.2%)</t>
  </si>
  <si>
    <t>15296(17.0%)</t>
  </si>
  <si>
    <t>15479(17.2%)</t>
  </si>
  <si>
    <t>15442(17.2%)</t>
  </si>
  <si>
    <t>否</t>
  </si>
  <si>
    <t>ld_bal</t>
  </si>
  <si>
    <t>12510(13.9%)</t>
  </si>
  <si>
    <t>12469(13.9%)</t>
  </si>
  <si>
    <t>12491(13.9%)</t>
  </si>
  <si>
    <t>12501(13.9%)</t>
  </si>
  <si>
    <t>12515(13.9%)</t>
  </si>
  <si>
    <t>wl_bal</t>
  </si>
  <si>
    <t>12485(13.9%)</t>
  </si>
  <si>
    <t>12509(13.9%)</t>
  </si>
  <si>
    <t>12508(13.9%)</t>
  </si>
  <si>
    <t>12487(13.9%)</t>
  </si>
  <si>
    <t>dsplit</t>
  </si>
  <si>
    <t>12554(13.9%)</t>
  </si>
  <si>
    <t>12567(14.0%)</t>
  </si>
  <si>
    <t>12570(14.0%)</t>
  </si>
  <si>
    <t>12587(14.0%)</t>
  </si>
  <si>
    <t>12539(13.9%)</t>
  </si>
  <si>
    <t>full</t>
  </si>
  <si>
    <t>12505(13.9%)</t>
  </si>
  <si>
    <t>12479(13.9%)</t>
  </si>
  <si>
    <t>12517(13.9%)</t>
  </si>
  <si>
    <t>12489(13.9%)</t>
  </si>
  <si>
    <t>12330(13.7%)</t>
  </si>
  <si>
    <t>12338(13.7%)</t>
  </si>
  <si>
    <t>12407(13.8%)</t>
  </si>
  <si>
    <t>12385(13.8%)</t>
  </si>
  <si>
    <t>12381(13.8%)</t>
  </si>
  <si>
    <t>是</t>
  </si>
  <si>
    <t>15459(48.3%)</t>
  </si>
  <si>
    <t>15587(48.7%)</t>
  </si>
  <si>
    <t>15616(48.8%)</t>
  </si>
  <si>
    <t>15436(48.2%)</t>
  </si>
  <si>
    <t>15469(48.3%)</t>
  </si>
  <si>
    <t>12484(39.0%)</t>
  </si>
  <si>
    <t>12535(39.2%)</t>
  </si>
  <si>
    <t>12499(39.1%)</t>
  </si>
  <si>
    <t>12456(38.9%)</t>
  </si>
  <si>
    <t>12514(39.1%)</t>
  </si>
  <si>
    <t>12522(39.1%)</t>
  </si>
  <si>
    <t>12507(39.1%)</t>
  </si>
  <si>
    <t>12508(39.1%)</t>
  </si>
  <si>
    <t>12485(39.0%)</t>
  </si>
  <si>
    <t>12468(39.0%)</t>
  </si>
  <si>
    <t>12541(39.2%)</t>
  </si>
  <si>
    <t>12569(39.3%)</t>
  </si>
  <si>
    <t>12587(39.3%)</t>
  </si>
  <si>
    <t>12586(39.3%)</t>
  </si>
  <si>
    <t>12547(39.2%)</t>
  </si>
  <si>
    <t>12478(39.0%)</t>
  </si>
  <si>
    <t>12509(39.1%)</t>
  </si>
  <si>
    <t>12487(39.0%)</t>
  </si>
  <si>
    <t>12515(39.1%)</t>
  </si>
  <si>
    <t>12377(38.7%)</t>
  </si>
  <si>
    <t>12398(38.7%)</t>
  </si>
  <si>
    <t>12345(38.6%)</t>
  </si>
  <si>
    <t>12336(38.6%)</t>
  </si>
  <si>
    <t>12363(38.6%)</t>
  </si>
  <si>
    <t>15242(47.6%)</t>
  </si>
  <si>
    <t>15478(48.4%)</t>
  </si>
  <si>
    <t>15425(46.7%)</t>
  </si>
  <si>
    <t>15611(44.6%)</t>
  </si>
  <si>
    <t>15482(40.7%)</t>
  </si>
  <si>
    <t>12516(39.1%)</t>
  </si>
  <si>
    <t>12508(37.9%)</t>
  </si>
  <si>
    <t>12502(35.7%)</t>
  </si>
  <si>
    <t>12486(32.9%)</t>
  </si>
  <si>
    <t>12511(39.1%)</t>
  </si>
  <si>
    <t>12482(39.0%)</t>
  </si>
  <si>
    <t>12492(37.9%)</t>
  </si>
  <si>
    <t>12501(35.7%)</t>
  </si>
  <si>
    <t>12507(32.9%)</t>
  </si>
  <si>
    <t>12544(38.0%)</t>
  </si>
  <si>
    <t>12590(36.0%)</t>
  </si>
  <si>
    <t>12546(33.0%)</t>
  </si>
  <si>
    <t>11134(34.8%)</t>
  </si>
  <si>
    <t>11107(34.7%)</t>
  </si>
  <si>
    <t>11794(35.7%)</t>
  </si>
  <si>
    <t>13137(37.5%)</t>
  </si>
  <si>
    <t>15210(40.0%)</t>
  </si>
  <si>
    <t>11681(36.5%)</t>
  </si>
  <si>
    <t>11684(36.5%)</t>
  </si>
  <si>
    <t>12038(36.5%)</t>
  </si>
  <si>
    <t>12748(36.4%)</t>
  </si>
  <si>
    <t>13712(36.1%)</t>
  </si>
  <si>
    <t>15382(81.0%)</t>
  </si>
  <si>
    <t>15614(82.2%)</t>
  </si>
  <si>
    <t>15409(81.1%)</t>
  </si>
  <si>
    <t>15477(81.5%)</t>
  </si>
  <si>
    <t>15436(81.2%)</t>
  </si>
  <si>
    <t>12500(65.8%)</t>
  </si>
  <si>
    <t>12483(65.7%)</t>
  </si>
  <si>
    <t>12492(65.7%)</t>
  </si>
  <si>
    <t>12485(65.7%)</t>
  </si>
  <si>
    <t>12521(65.9%)</t>
  </si>
  <si>
    <t>12479(65.7%)</t>
  </si>
  <si>
    <t>12439(65.5%)</t>
  </si>
  <si>
    <t>12537(66.0%)</t>
  </si>
  <si>
    <t>12499(65.8%)</t>
  </si>
  <si>
    <t>12510(65.8%)</t>
  </si>
  <si>
    <t>12576(66.2%)</t>
  </si>
  <si>
    <t>12564(66.1%)</t>
  </si>
  <si>
    <t>12580(66.2%)</t>
  </si>
  <si>
    <t>12575(66.2%)</t>
  </si>
  <si>
    <t>12530(65.9%)</t>
  </si>
  <si>
    <t>12526(65.9%)</t>
  </si>
  <si>
    <t>12493(65.8%)</t>
  </si>
  <si>
    <t>12497(65.8%)</t>
  </si>
  <si>
    <t>12471(65.6%)</t>
  </si>
  <si>
    <t>12398(65.3%)</t>
  </si>
  <si>
    <t>12358(65.0%)</t>
  </si>
  <si>
    <t>12392(65.2%)</t>
  </si>
  <si>
    <t>12348(65.0%)</t>
  </si>
  <si>
    <t>12353(65.0%)</t>
  </si>
  <si>
    <t>11941(99.5%)</t>
  </si>
  <si>
    <t>15661(92.1%)</t>
  </si>
  <si>
    <t>15843(79.2%)</t>
  </si>
  <si>
    <t>15853(72.1%)</t>
  </si>
  <si>
    <t>15709(65.5%)</t>
  </si>
  <si>
    <t>11852(98.8%)</t>
  </si>
  <si>
    <t>12657(74.5%)</t>
  </si>
  <si>
    <t>12716(63.6%)</t>
  </si>
  <si>
    <t>12722(57.8%)</t>
  </si>
  <si>
    <t>12688(52.9%)</t>
  </si>
  <si>
    <t>11853(98.8%)</t>
  </si>
  <si>
    <t>12666(74.5%)</t>
  </si>
  <si>
    <t>12683(63.4%)</t>
  </si>
  <si>
    <t>12713(57.8%)</t>
  </si>
  <si>
    <t>12665(52.8%)</t>
  </si>
  <si>
    <t>12254(102.1%)</t>
  </si>
  <si>
    <t>12635(74.3%)</t>
  </si>
  <si>
    <t>12621(63.1%)</t>
  </si>
  <si>
    <t>12583(57.2%)</t>
  </si>
  <si>
    <t>12624(52.6%)</t>
  </si>
  <si>
    <t>6926(57.7%)</t>
  </si>
  <si>
    <t>10817(63.6%)</t>
  </si>
  <si>
    <t>13250(66.2%)</t>
  </si>
  <si>
    <t>14903(67.7%)</t>
  </si>
  <si>
    <t>16588(69.1%)</t>
  </si>
  <si>
    <t>8066(67.2%)</t>
  </si>
  <si>
    <t>11138(65.5%)</t>
  </si>
  <si>
    <t>13001(65.0%)</t>
  </si>
  <si>
    <t>14194(64.5%)</t>
  </si>
  <si>
    <t>15424(64.3%)</t>
  </si>
  <si>
    <t>62189(69.1%)</t>
  </si>
  <si>
    <t>0(0.0%)</t>
  </si>
  <si>
    <t>12497(13.9%)</t>
  </si>
  <si>
    <t>12476(13.9%)</t>
  </si>
  <si>
    <t>12499(13.9%)</t>
  </si>
  <si>
    <t>12495(13.9%)</t>
  </si>
  <si>
    <t>12503(13.9%)</t>
  </si>
  <si>
    <t>12740(14.2%)</t>
  </si>
  <si>
    <t>12619(14.0%)</t>
  </si>
  <si>
    <t>12356(13.7%)</t>
  </si>
  <si>
    <t>12254(13.6%)</t>
  </si>
  <si>
    <t>12793(14.2%)</t>
  </si>
  <si>
    <t>12679(14.1%)</t>
  </si>
  <si>
    <t>12553(13.9%)</t>
  </si>
  <si>
    <t>12472(13.9%)</t>
  </si>
  <si>
    <t>12309(13.7%)</t>
  </si>
  <si>
    <t>13264(14.7%)</t>
  </si>
  <si>
    <t>12865(14.3%)</t>
  </si>
  <si>
    <t>12478(13.9%)</t>
  </si>
  <si>
    <t>12101(13.4%)</t>
  </si>
  <si>
    <t>11738(13.0%)</t>
  </si>
  <si>
    <t>12655(14.1%)</t>
  </si>
  <si>
    <t>12236(13.6%)</t>
  </si>
  <si>
    <t>12148(13.5%)</t>
  </si>
  <si>
    <t>12130(13.5%)</t>
  </si>
  <si>
    <t>12168(13.5%)</t>
  </si>
  <si>
    <t>31998(100.0%)</t>
  </si>
  <si>
    <t>30224(94.5%)</t>
  </si>
  <si>
    <t>12523(39.1%)</t>
  </si>
  <si>
    <t>12496(39.1%)</t>
  </si>
  <si>
    <t>12497(39.1%)</t>
  </si>
  <si>
    <t>12712(39.7%)</t>
  </si>
  <si>
    <t>12599(39.4%)</t>
  </si>
  <si>
    <t>12370(38.7%)</t>
  </si>
  <si>
    <t>12283(38.4%)</t>
  </si>
  <si>
    <t>12794(40.0%)</t>
  </si>
  <si>
    <t>12677(39.6%)</t>
  </si>
  <si>
    <t>12565(39.3%)</t>
  </si>
  <si>
    <t>12463(38.9%)</t>
  </si>
  <si>
    <t>12327(38.5%)</t>
  </si>
  <si>
    <t>12714(39.7%)</t>
  </si>
  <si>
    <t>12574(39.3%)</t>
  </si>
  <si>
    <t>12477(39.0%)</t>
  </si>
  <si>
    <t>12378(38.7%)</t>
  </si>
  <si>
    <t>12348(38.6%)</t>
  </si>
  <si>
    <t>12626(39.5%)</t>
  </si>
  <si>
    <t>12250(38.3%)</t>
  </si>
  <si>
    <t>12142(37.9%)</t>
  </si>
  <si>
    <t>12152(38.0%)</t>
  </si>
  <si>
    <t>12129(37.9%)</t>
  </si>
  <si>
    <t>12483(39.0%)</t>
  </si>
  <si>
    <t>12500(37.9%)</t>
  </si>
  <si>
    <t>12536(35.8%)</t>
  </si>
  <si>
    <t>12517(32.9%)</t>
  </si>
  <si>
    <t>12744(39.8%)</t>
  </si>
  <si>
    <t>12633(39.5%)</t>
  </si>
  <si>
    <t>12454(37.7%)</t>
  </si>
  <si>
    <t>12407(35.4%)</t>
  </si>
  <si>
    <t>12238(32.2%)</t>
  </si>
  <si>
    <t>12679(39.6%)</t>
  </si>
  <si>
    <t>12559(38.1%)</t>
  </si>
  <si>
    <t>12462(35.6%)</t>
  </si>
  <si>
    <t>12335(32.5%)</t>
  </si>
  <si>
    <t>11339(35.4%)</t>
  </si>
  <si>
    <t>11251(35.2%)</t>
  </si>
  <si>
    <t>11828(35.8%)</t>
  </si>
  <si>
    <t>13034(37.2%)</t>
  </si>
  <si>
    <t>14981(39.4%)</t>
  </si>
  <si>
    <t>11911(37.2%)</t>
  </si>
  <si>
    <t>11616(36.3%)</t>
  </si>
  <si>
    <t>11829(35.8%)</t>
  </si>
  <si>
    <t>12507(35.7%)</t>
  </si>
  <si>
    <t>13484(35.5%)</t>
  </si>
  <si>
    <t>18999(100.0%)</t>
  </si>
  <si>
    <t>18998(100.0%)</t>
  </si>
  <si>
    <t>18935(99.7%)</t>
  </si>
  <si>
    <t>5400(28.4%)</t>
  </si>
  <si>
    <t>12515(65.9%)</t>
  </si>
  <si>
    <t>12514(65.9%)</t>
  </si>
  <si>
    <t>12476(65.7%)</t>
  </si>
  <si>
    <t>12490(65.7%)</t>
  </si>
  <si>
    <t>12716(66.9%)</t>
  </si>
  <si>
    <t>12612(66.4%)</t>
  </si>
  <si>
    <t>12385(65.2%)</t>
  </si>
  <si>
    <t>12265(64.6%)</t>
  </si>
  <si>
    <t>12795(67.3%)</t>
  </si>
  <si>
    <t>12685(66.8%)</t>
  </si>
  <si>
    <t>12548(66.0%)</t>
  </si>
  <si>
    <t>12452(65.5%)</t>
  </si>
  <si>
    <t>12337(64.9%)</t>
  </si>
  <si>
    <t>12542(66.0%)</t>
  </si>
  <si>
    <t>12505(65.8%)</t>
  </si>
  <si>
    <t>12460(65.6%)</t>
  </si>
  <si>
    <t>12413(65.3%)</t>
  </si>
  <si>
    <t>12684(66.8%)</t>
  </si>
  <si>
    <t>12301(64.7%)</t>
  </si>
  <si>
    <t>12175(64.1%)</t>
  </si>
  <si>
    <t>12207(64.2%)</t>
  </si>
  <si>
    <t>12168(64.0%)</t>
  </si>
  <si>
    <t>11999(100.0%)</t>
  </si>
  <si>
    <t>16999(100.0%)</t>
  </si>
  <si>
    <t>19990(100.0%)</t>
  </si>
  <si>
    <t>13335(60.6%)</t>
  </si>
  <si>
    <t>11860(98.8%)</t>
  </si>
  <si>
    <t>12674(74.6%)</t>
  </si>
  <si>
    <t>12711(63.6%)</t>
  </si>
  <si>
    <t>12672(57.6%)</t>
  </si>
  <si>
    <t>12707(52.9%)</t>
  </si>
  <si>
    <t>11896(99.1%)</t>
  </si>
  <si>
    <t>12787(75.2%)</t>
  </si>
  <si>
    <t>12770(63.8%)</t>
  </si>
  <si>
    <t>12618(57.4%)</t>
  </si>
  <si>
    <t>12498(52.1%)</t>
  </si>
  <si>
    <t>12252(102.1%)</t>
  </si>
  <si>
    <t>12735(74.9%)</t>
  </si>
  <si>
    <t>12663(63.3%)</t>
  </si>
  <si>
    <t>12561(57.1%)</t>
  </si>
  <si>
    <t>12448(51.9%)</t>
  </si>
  <si>
    <t>6967(58.1%)</t>
  </si>
  <si>
    <t>10871(63.9%)</t>
  </si>
  <si>
    <t>13249(66.2%)</t>
  </si>
  <si>
    <t>14845(67.5%)</t>
  </si>
  <si>
    <t>16506(68.8%)</t>
  </si>
  <si>
    <t>8442(70.3%)</t>
  </si>
  <si>
    <t>11208(65.9%)</t>
  </si>
  <si>
    <t>12755(63.8%)</t>
  </si>
  <si>
    <t>13920(63.3%)</t>
  </si>
  <si>
    <t>15108(62.9%)</t>
  </si>
  <si>
    <t>12490(13.9%)</t>
  </si>
  <si>
    <t>12942(14.4%)</t>
  </si>
  <si>
    <t>12710(14.1%)</t>
  </si>
  <si>
    <t>12516(13.9%)</t>
  </si>
  <si>
    <t>12235(13.6%)</t>
  </si>
  <si>
    <t>12051(13.4%)</t>
  </si>
  <si>
    <t>13001(14.4%)</t>
  </si>
  <si>
    <t>12788(14.2%)</t>
  </si>
  <si>
    <t>12552(13.9%)</t>
  </si>
  <si>
    <t>12332(13.7%)</t>
  </si>
  <si>
    <t>12154(13.5%)</t>
  </si>
  <si>
    <t>14006(15.6%)</t>
  </si>
  <si>
    <t>13255(14.7%)</t>
  </si>
  <si>
    <t>12483(13.9%)</t>
  </si>
  <si>
    <t>11730(13.0%)</t>
  </si>
  <si>
    <t>10988(12.2%)</t>
  </si>
  <si>
    <t>12614(14.0%)</t>
  </si>
  <si>
    <t>12225(13.6%)</t>
  </si>
  <si>
    <t>12174(13.5%)</t>
  </si>
  <si>
    <t>12159(13.5%)</t>
  </si>
  <si>
    <t>12132(13.5%)</t>
  </si>
  <si>
    <t>12492(39.0%)</t>
  </si>
  <si>
    <t>12501(39.1%)</t>
  </si>
  <si>
    <t>12521(39.1%)</t>
  </si>
  <si>
    <t>12934(40.4%)</t>
  </si>
  <si>
    <t>12706(39.7%)</t>
  </si>
  <si>
    <t>12506(39.1%)</t>
  </si>
  <si>
    <t>12271(38.3%)</t>
  </si>
  <si>
    <t>12039(37.6%)</t>
  </si>
  <si>
    <t>13022(40.7%)</t>
  </si>
  <si>
    <t>12806(40.0%)</t>
  </si>
  <si>
    <t>12544(39.2%)</t>
  </si>
  <si>
    <t>12331(38.5%)</t>
  </si>
  <si>
    <t>12170(38.0%)</t>
  </si>
  <si>
    <t>12874(40.2%)</t>
  </si>
  <si>
    <t>12704(39.7%)</t>
  </si>
  <si>
    <t>12505(39.1%)</t>
  </si>
  <si>
    <t>12286(38.4%)</t>
  </si>
  <si>
    <t>12085(37.8%)</t>
  </si>
  <si>
    <t>12614(39.4%)</t>
  </si>
  <si>
    <t>12242(38.3%)</t>
  </si>
  <si>
    <t>12130(37.9%)</t>
  </si>
  <si>
    <t>12177(38.1%)</t>
  </si>
  <si>
    <t>12124(37.9%)</t>
  </si>
  <si>
    <t>12502(39.1%)</t>
  </si>
  <si>
    <t>12491(37.9%)</t>
  </si>
  <si>
    <t>12479(35.7%)</t>
  </si>
  <si>
    <t>12948(40.5%)</t>
  </si>
  <si>
    <t>12700(39.7%)</t>
  </si>
  <si>
    <t>12504(37.9%)</t>
  </si>
  <si>
    <t>12282(35.1%)</t>
  </si>
  <si>
    <t>12051(31.7%)</t>
  </si>
  <si>
    <t>13003(40.6%)</t>
  </si>
  <si>
    <t>12801(40.0%)</t>
  </si>
  <si>
    <t>12550(38.0%)</t>
  </si>
  <si>
    <t>12335(35.2%)</t>
  </si>
  <si>
    <t>12158(32.0%)</t>
  </si>
  <si>
    <t>11560(36.1%)</t>
  </si>
  <si>
    <t>11361(35.5%)</t>
  </si>
  <si>
    <t>11842(35.9%)</t>
  </si>
  <si>
    <t>12937(37.0%)</t>
  </si>
  <si>
    <t>14791(38.9%)</t>
  </si>
  <si>
    <t>11900(37.2%)</t>
  </si>
  <si>
    <t>11601(36.3%)</t>
  </si>
  <si>
    <t>11838(35.9%)</t>
  </si>
  <si>
    <t>12491(35.7%)</t>
  </si>
  <si>
    <t>13499(35.5%)</t>
  </si>
  <si>
    <t>12522(65.9%)</t>
  </si>
  <si>
    <t>12519(65.9%)</t>
  </si>
  <si>
    <t>12489(65.7%)</t>
  </si>
  <si>
    <t>12469(65.6%)</t>
  </si>
  <si>
    <t>12940(68.1%)</t>
  </si>
  <si>
    <t>12697(66.8%)</t>
  </si>
  <si>
    <t>12512(65.9%)</t>
  </si>
  <si>
    <t>12277(64.6%)</t>
  </si>
  <si>
    <t>12008(63.2%)</t>
  </si>
  <si>
    <t>12995(68.4%)</t>
  </si>
  <si>
    <t>12807(67.4%)</t>
  </si>
  <si>
    <t>12528(65.9%)</t>
  </si>
  <si>
    <t>12340(64.9%)</t>
  </si>
  <si>
    <t>12173(64.1%)</t>
  </si>
  <si>
    <t>12657(66.6%)</t>
  </si>
  <si>
    <t>12588(66.3%)</t>
  </si>
  <si>
    <t>12336(64.9%)</t>
  </si>
  <si>
    <t>12733(67.0%)</t>
  </si>
  <si>
    <t>12244(64.4%)</t>
  </si>
  <si>
    <t>12171(64.1%)</t>
  </si>
  <si>
    <t>12200(64.2%)</t>
  </si>
  <si>
    <t>12213(64.3%)</t>
  </si>
  <si>
    <t>11846(98.7%)</t>
  </si>
  <si>
    <t>12671(74.5%)</t>
  </si>
  <si>
    <t>12700(63.5%)</t>
  </si>
  <si>
    <t>12676(57.6%)</t>
  </si>
  <si>
    <t>12689(52.9%)</t>
  </si>
  <si>
    <t>11936(99.5%)</t>
  </si>
  <si>
    <t>12996(76.4%)</t>
  </si>
  <si>
    <t>12771(63.9%)</t>
  </si>
  <si>
    <t>12552(57.1%)</t>
  </si>
  <si>
    <t>12331(51.4%)</t>
  </si>
  <si>
    <t>12239(102.0%)</t>
  </si>
  <si>
    <t>12813(75.4%)</t>
  </si>
  <si>
    <t>12639(63.2%)</t>
  </si>
  <si>
    <t>12492(56.8%)</t>
  </si>
  <si>
    <t>12426(51.8%)</t>
  </si>
  <si>
    <t>7051(58.8%)</t>
  </si>
  <si>
    <t>10858(63.9%)</t>
  </si>
  <si>
    <t>13277(66.4%)</t>
  </si>
  <si>
    <t>14843(67.5%)</t>
  </si>
  <si>
    <t>16448(68.5%)</t>
  </si>
  <si>
    <t>8444(70.4%)</t>
  </si>
  <si>
    <t>11222(66.0%)</t>
  </si>
  <si>
    <t>12752(63.8%)</t>
  </si>
  <si>
    <t>13916(63.3%)</t>
  </si>
  <si>
    <t>15091(62.9%)</t>
  </si>
  <si>
    <t>12496(13.9%)</t>
  </si>
  <si>
    <t>12492(13.9%)</t>
  </si>
  <si>
    <t>13655(15.2%)</t>
  </si>
  <si>
    <t>12984(14.4%)</t>
  </si>
  <si>
    <t>12457(13.8%)</t>
  </si>
  <si>
    <t>11893(13.2%)</t>
  </si>
  <si>
    <t>11476(12.8%)</t>
  </si>
  <si>
    <t>13636(15.2%)</t>
  </si>
  <si>
    <t>13044(14.5%)</t>
  </si>
  <si>
    <t>12037(13.4%)</t>
  </si>
  <si>
    <t>11562(12.8%)</t>
  </si>
  <si>
    <t>16076(17.9%)</t>
  </si>
  <si>
    <t>14267(15.9%)</t>
  </si>
  <si>
    <t>12461(13.8%)</t>
  </si>
  <si>
    <t>10690(11.9%)</t>
  </si>
  <si>
    <t>8970(10.0%)</t>
  </si>
  <si>
    <t>12629(14.0%)</t>
  </si>
  <si>
    <t>12259(13.6%)</t>
  </si>
  <si>
    <t>12153(13.5%)</t>
  </si>
  <si>
    <t>12476(39.0%)</t>
  </si>
  <si>
    <t>12489(39.0%)</t>
  </si>
  <si>
    <t>13648(42.6%)</t>
  </si>
  <si>
    <t>12999(40.6%)</t>
  </si>
  <si>
    <t>11903(37.2%)</t>
  </si>
  <si>
    <t>11463(35.8%)</t>
  </si>
  <si>
    <t>13628(42.6%)</t>
  </si>
  <si>
    <t>13030(40.7%)</t>
  </si>
  <si>
    <t>12034(37.6%)</t>
  </si>
  <si>
    <t>11568(36.1%)</t>
  </si>
  <si>
    <t>13394(41.9%)</t>
  </si>
  <si>
    <t>12960(40.5%)</t>
  </si>
  <si>
    <t>12490(39.0%)</t>
  </si>
  <si>
    <t>12006(37.5%)</t>
  </si>
  <si>
    <t>11597(36.2%)</t>
  </si>
  <si>
    <t>12618(39.4%)</t>
  </si>
  <si>
    <t>12245(38.3%)</t>
  </si>
  <si>
    <t>12153(38.0%)</t>
  </si>
  <si>
    <t>12159(38.0%)</t>
  </si>
  <si>
    <t>12123(37.9%)</t>
  </si>
  <si>
    <t>12509(37.9%)</t>
  </si>
  <si>
    <t>12484(35.7%)</t>
  </si>
  <si>
    <t>12514(32.9%)</t>
  </si>
  <si>
    <t>13616(42.5%)</t>
  </si>
  <si>
    <t>13017(40.7%)</t>
  </si>
  <si>
    <t>12481(37.8%)</t>
  </si>
  <si>
    <t>11908(34.0%)</t>
  </si>
  <si>
    <t>11471(30.2%)</t>
  </si>
  <si>
    <t>13636(42.6%)</t>
  </si>
  <si>
    <t>13024(40.7%)</t>
  </si>
  <si>
    <t>12510(37.9%)</t>
  </si>
  <si>
    <t>12024(34.4%)</t>
  </si>
  <si>
    <t>11577(30.5%)</t>
  </si>
  <si>
    <t>12134(37.9%)</t>
  </si>
  <si>
    <t>11671(36.5%)</t>
  </si>
  <si>
    <t>11774(35.7%)</t>
  </si>
  <si>
    <t>12642(36.1%)</t>
  </si>
  <si>
    <t>14195(37.4%)</t>
  </si>
  <si>
    <t>11946(37.3%)</t>
  </si>
  <si>
    <t>11598(36.2%)</t>
  </si>
  <si>
    <t>11822(35.8%)</t>
  </si>
  <si>
    <t>12497(35.7%)</t>
  </si>
  <si>
    <t>13510(35.6%)</t>
  </si>
  <si>
    <t>12478(65.7%)</t>
  </si>
  <si>
    <t>12508(65.8%)</t>
  </si>
  <si>
    <t>13630(71.7%)</t>
  </si>
  <si>
    <t>13006(68.5%)</t>
  </si>
  <si>
    <t>11909(62.7%)</t>
  </si>
  <si>
    <t>11471(60.4%)</t>
  </si>
  <si>
    <t>13638(71.8%)</t>
  </si>
  <si>
    <t>13050(68.7%)</t>
  </si>
  <si>
    <t>12027(63.3%)</t>
  </si>
  <si>
    <t>11577(60.9%)</t>
  </si>
  <si>
    <t>12814(67.4%)</t>
  </si>
  <si>
    <t>12651(66.6%)</t>
  </si>
  <si>
    <t>12511(65.8%)</t>
  </si>
  <si>
    <t>12330(64.9%)</t>
  </si>
  <si>
    <t>12714(66.9%)</t>
  </si>
  <si>
    <t>12272(64.6%)</t>
  </si>
  <si>
    <t>12191(64.2%)</t>
  </si>
  <si>
    <t>12185(64.1%)</t>
  </si>
  <si>
    <t>11847(98.7%)</t>
  </si>
  <si>
    <t>12689(74.6%)</t>
  </si>
  <si>
    <t>12661(63.3%)</t>
  </si>
  <si>
    <t>12698(57.7%)</t>
  </si>
  <si>
    <t>12674(52.8%)</t>
  </si>
  <si>
    <t>11966(99.7%)</t>
  </si>
  <si>
    <t>13472(79.2%)</t>
  </si>
  <si>
    <t>12873(64.4%)</t>
  </si>
  <si>
    <t>12372(56.2%)</t>
  </si>
  <si>
    <t>11807(49.2%)</t>
  </si>
  <si>
    <t>12235(102.0%)</t>
  </si>
  <si>
    <t>13006(76.5%)</t>
  </si>
  <si>
    <t>12606(63.0%)</t>
  </si>
  <si>
    <t>12432(56.5%)</t>
  </si>
  <si>
    <t>12397(51.7%)</t>
  </si>
  <si>
    <t>7226(60.2%)</t>
  </si>
  <si>
    <t>10994(64.7%)</t>
  </si>
  <si>
    <t>13298(66.5%)</t>
  </si>
  <si>
    <t>14745(67.0%)</t>
  </si>
  <si>
    <t>16272(67.8%)</t>
  </si>
  <si>
    <t>8449(70.4%)</t>
  </si>
  <si>
    <t>11217(66.0%)</t>
  </si>
  <si>
    <t>12739(63.7%)</t>
  </si>
  <si>
    <t>15141(63.1%)</t>
  </si>
  <si>
    <t>12482(13.9%)</t>
  </si>
  <si>
    <t>12484(13.9%)</t>
  </si>
  <si>
    <t>12542(13.9%)</t>
  </si>
  <si>
    <t>14669(16.3%)</t>
  </si>
  <si>
    <t>13381(14.9%)</t>
  </si>
  <si>
    <t>12333(13.7%)</t>
  </si>
  <si>
    <t>11406(12.7%)</t>
  </si>
  <si>
    <t>10643(11.8%)</t>
  </si>
  <si>
    <t>14654(16.3%)</t>
  </si>
  <si>
    <t>13393(14.9%)</t>
  </si>
  <si>
    <t>12388(13.8%)</t>
  </si>
  <si>
    <t>11575(12.9%)</t>
  </si>
  <si>
    <t>10851(12.1%)</t>
  </si>
  <si>
    <t>19176(21.3%)</t>
  </si>
  <si>
    <t>15701(17.4%)</t>
  </si>
  <si>
    <t>12355(13.7%)</t>
  </si>
  <si>
    <t>9143(10.2%)</t>
  </si>
  <si>
    <t>6171(6.9%)</t>
  </si>
  <si>
    <t>12630(14.0%)</t>
  </si>
  <si>
    <t>12258(13.6%)</t>
  </si>
  <si>
    <t>12150(13.5%)</t>
  </si>
  <si>
    <t>12163(13.5%)</t>
  </si>
  <si>
    <t>12479(39.0%)</t>
  </si>
  <si>
    <t>12537(39.2%)</t>
  </si>
  <si>
    <t>12465(39.0%)</t>
  </si>
  <si>
    <t>14715(46.0%)</t>
  </si>
  <si>
    <t>13384(41.8%)</t>
  </si>
  <si>
    <t>12317(38.5%)</t>
  </si>
  <si>
    <t>11420(35.7%)</t>
  </si>
  <si>
    <t>10670(33.3%)</t>
  </si>
  <si>
    <t>14668(45.8%)</t>
  </si>
  <si>
    <t>13386(41.8%)</t>
  </si>
  <si>
    <t>12392(38.7%)</t>
  </si>
  <si>
    <t>11573(36.2%)</t>
  </si>
  <si>
    <t>10858(33.9%)</t>
  </si>
  <si>
    <t>14197(44.4%)</t>
  </si>
  <si>
    <t>13274(41.5%)</t>
  </si>
  <si>
    <t>12464(39.0%)</t>
  </si>
  <si>
    <t>11655(36.4%)</t>
  </si>
  <si>
    <t>10825(33.8%)</t>
  </si>
  <si>
    <t>12238(38.2%)</t>
  </si>
  <si>
    <t>12150(38.0%)</t>
  </si>
  <si>
    <t>12121(37.9%)</t>
  </si>
  <si>
    <t>12174(38.0%)</t>
  </si>
  <si>
    <t>12497(37.9%)</t>
  </si>
  <si>
    <t>12496(35.7%)</t>
  </si>
  <si>
    <t>12505(32.9%)</t>
  </si>
  <si>
    <t>14688(45.9%)</t>
  </si>
  <si>
    <t>13383(41.8%)</t>
  </si>
  <si>
    <t>12334(37.4%)</t>
  </si>
  <si>
    <t>11427(32.6%)</t>
  </si>
  <si>
    <t>10638(28.0%)</t>
  </si>
  <si>
    <t>14650(45.8%)</t>
  </si>
  <si>
    <t>12390(37.5%)</t>
  </si>
  <si>
    <t>11582(33.1%)</t>
  </si>
  <si>
    <t>10847(28.5%)</t>
  </si>
  <si>
    <t>13039(40.7%)</t>
  </si>
  <si>
    <t>12011(37.5%)</t>
  </si>
  <si>
    <t>11798(35.8%)</t>
  </si>
  <si>
    <t>12214(34.9%)</t>
  </si>
  <si>
    <t>13350(35.1%)</t>
  </si>
  <si>
    <t>11904(37.2%)</t>
  </si>
  <si>
    <t>11595(36.2%)</t>
  </si>
  <si>
    <t>11841(35.9%)</t>
  </si>
  <si>
    <t>12519(35.8%)</t>
  </si>
  <si>
    <t>14696(77.3%)</t>
  </si>
  <si>
    <t>13380(70.4%)</t>
  </si>
  <si>
    <t>12309(64.8%)</t>
  </si>
  <si>
    <t>11413(60.1%)</t>
  </si>
  <si>
    <t>10637(56.0%)</t>
  </si>
  <si>
    <t>14639(77.0%)</t>
  </si>
  <si>
    <t>13394(70.5%)</t>
  </si>
  <si>
    <t>12381(65.2%)</t>
  </si>
  <si>
    <t>10851(57.1%)</t>
  </si>
  <si>
    <t>13088(68.9%)</t>
  </si>
  <si>
    <t>12790(67.3%)</t>
  </si>
  <si>
    <t>12457(65.6%)</t>
  </si>
  <si>
    <t>12222(64.3%)</t>
  </si>
  <si>
    <t>11886(62.6%)</t>
  </si>
  <si>
    <t>12276(64.6%)</t>
  </si>
  <si>
    <t>12204(64.2%)</t>
  </si>
  <si>
    <t>12169(64.0%)</t>
  </si>
  <si>
    <t>12189(64.2%)</t>
  </si>
  <si>
    <t>12681(74.6%)</t>
  </si>
  <si>
    <t>12705(63.5%)</t>
  </si>
  <si>
    <t>12659(57.5%)</t>
  </si>
  <si>
    <t>12683(52.8%)</t>
  </si>
  <si>
    <t>11987(99.9%)</t>
  </si>
  <si>
    <t>14143(83.2%)</t>
  </si>
  <si>
    <t>12999(65.0%)</t>
  </si>
  <si>
    <t>12041(54.7%)</t>
  </si>
  <si>
    <t>11263(46.9%)</t>
  </si>
  <si>
    <t>12256(102.1%)</t>
  </si>
  <si>
    <t>12990(76.4%)</t>
  </si>
  <si>
    <t>12526(62.6%)</t>
  </si>
  <si>
    <t>12425(56.5%)</t>
  </si>
  <si>
    <t>12356(51.5%)</t>
  </si>
  <si>
    <t>7449(62.1%)</t>
  </si>
  <si>
    <t>11137(65.5%)</t>
  </si>
  <si>
    <t>14658(66.6%)</t>
  </si>
  <si>
    <t>15983(66.6%)</t>
  </si>
  <si>
    <t>8399(70.0%)</t>
  </si>
  <si>
    <t>11230(66.1%)</t>
  </si>
  <si>
    <t>12756(63.8%)</t>
  </si>
  <si>
    <t>13886(63.1%)</t>
  </si>
  <si>
    <t>15097(62.9%)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</si>
</sst>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3">
    <font>
      <sz val="1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000000"/>
      <name val="微软雅黑"/>
      <charset val="134"/>
    </font>
    <font>
      <sz val="11"/>
      <color rgb="FFFF0000"/>
      <name val="Calibri"/>
      <charset val="134"/>
    </font>
    <font>
      <sz val="11"/>
      <name val="汉仪书宋二KW"/>
      <charset val="134"/>
    </font>
    <font>
      <b/>
      <sz val="11"/>
      <color rgb="FF000000"/>
      <name val="汉仪书宋二KW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95">
    <xf numFmtId="0" fontId="0" fillId="0" borderId="0" xfId="0"/>
    <xf numFmtId="176" fontId="0" fillId="0" borderId="0" xfId="0" applyNumberFormat="1"/>
    <xf numFmtId="0" fontId="1" fillId="0" borderId="0" xfId="0" applyFont="1"/>
    <xf numFmtId="2" fontId="2" fillId="0" borderId="0" xfId="0" applyNumberFormat="1" applyFont="1"/>
    <xf numFmtId="0" fontId="3" fillId="0" borderId="0" xfId="0" applyFont="1"/>
    <xf numFmtId="0" fontId="2" fillId="0" borderId="0" xfId="0" applyFont="1"/>
    <xf numFmtId="0" fontId="0" fillId="0" borderId="0" xfId="0" applyBorder="1"/>
    <xf numFmtId="176" fontId="0" fillId="0" borderId="0" xfId="0" applyNumberFormat="1" applyBorder="1"/>
    <xf numFmtId="0" fontId="0" fillId="0" borderId="0" xfId="0" applyBorder="1"/>
    <xf numFmtId="0" fontId="1" fillId="0" borderId="0" xfId="0" applyFont="1" applyBorder="1"/>
    <xf numFmtId="1" fontId="0" fillId="0" borderId="0" xfId="0" applyNumberFormat="1" applyBorder="1"/>
    <xf numFmtId="10" fontId="0" fillId="0" borderId="0" xfId="0" applyNumberFormat="1" applyBorder="1"/>
    <xf numFmtId="1" fontId="0" fillId="0" borderId="0" xfId="0" applyNumberFormat="1" applyBorder="1"/>
    <xf numFmtId="10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/>
    <xf numFmtId="10" fontId="0" fillId="0" borderId="4" xfId="0" applyNumberFormat="1" applyBorder="1" applyAlignment="1">
      <alignment horizontal="left" vertical="center" wrapText="1"/>
    </xf>
    <xf numFmtId="10" fontId="5" fillId="0" borderId="0" xfId="0" applyNumberFormat="1" applyFont="1" applyBorder="1" applyAlignment="1">
      <alignment horizontal="left" vertical="center" wrapText="1"/>
    </xf>
    <xf numFmtId="10" fontId="1" fillId="0" borderId="0" xfId="0" applyNumberFormat="1" applyFont="1" applyBorder="1" applyAlignment="1">
      <alignment horizontal="left" vertical="center" wrapText="1"/>
    </xf>
    <xf numFmtId="10" fontId="0" fillId="0" borderId="0" xfId="0" applyNumberFormat="1" applyBorder="1" applyAlignment="1">
      <alignment horizontal="left" vertical="center" wrapText="1"/>
    </xf>
    <xf numFmtId="10" fontId="0" fillId="0" borderId="5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/>
    <xf numFmtId="10" fontId="0" fillId="0" borderId="6" xfId="0" applyNumberFormat="1" applyBorder="1" applyAlignment="1">
      <alignment horizontal="left" vertical="center" wrapText="1"/>
    </xf>
    <xf numFmtId="10" fontId="5" fillId="0" borderId="7" xfId="0" applyNumberFormat="1" applyFont="1" applyBorder="1" applyAlignment="1">
      <alignment horizontal="left" vertical="center" wrapText="1"/>
    </xf>
    <xf numFmtId="10" fontId="1" fillId="0" borderId="7" xfId="0" applyNumberFormat="1" applyFont="1" applyBorder="1" applyAlignment="1">
      <alignment horizontal="left" vertical="center" wrapText="1"/>
    </xf>
    <xf numFmtId="10" fontId="0" fillId="0" borderId="7" xfId="0" applyNumberFormat="1" applyBorder="1" applyAlignment="1">
      <alignment horizontal="left" vertical="center" wrapText="1"/>
    </xf>
    <xf numFmtId="10" fontId="0" fillId="0" borderId="8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left"/>
    </xf>
    <xf numFmtId="10" fontId="0" fillId="0" borderId="4" xfId="0" applyNumberFormat="1" applyBorder="1" applyAlignment="1">
      <alignment horizontal="left"/>
    </xf>
    <xf numFmtId="10" fontId="0" fillId="0" borderId="0" xfId="0" applyNumberFormat="1" applyBorder="1" applyAlignment="1">
      <alignment horizontal="left"/>
    </xf>
    <xf numFmtId="10" fontId="0" fillId="0" borderId="5" xfId="0" applyNumberForma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/>
    </xf>
    <xf numFmtId="10" fontId="0" fillId="0" borderId="5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0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1" fillId="0" borderId="8" xfId="0" applyFont="1" applyBorder="1" applyAlignment="1">
      <alignment horizontal="left"/>
    </xf>
    <xf numFmtId="10" fontId="0" fillId="0" borderId="6" xfId="0" applyNumberFormat="1" applyBorder="1" applyAlignment="1">
      <alignment horizontal="left"/>
    </xf>
    <xf numFmtId="10" fontId="0" fillId="0" borderId="7" xfId="0" applyNumberFormat="1" applyBorder="1" applyAlignment="1">
      <alignment horizontal="left"/>
    </xf>
    <xf numFmtId="10" fontId="0" fillId="0" borderId="8" xfId="0" applyNumberFormat="1" applyBorder="1" applyAlignment="1">
      <alignment horizontal="left"/>
    </xf>
    <xf numFmtId="10" fontId="7" fillId="0" borderId="7" xfId="0" applyNumberFormat="1" applyFont="1" applyBorder="1" applyAlignment="1">
      <alignment horizontal="left"/>
    </xf>
    <xf numFmtId="10" fontId="0" fillId="0" borderId="8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" fontId="0" fillId="0" borderId="0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" dbFileVersion="0" changeLogVersion="0">
    <open main="58" threadCnt="1"/>
    <sheetInfos>
      <sheetInfo cellCmpFml="1" sheetStid="3">
        <open main="1" threadCnt="1"/>
      </sheetInfo>
      <sheetInfo cellCmpFml="8" sheetStid="1">
        <open main="3" threadCnt="1"/>
      </sheetInfo>
      <sheetInfo cellCmpFml="0" sheetStid="2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"/>
  <sheetViews>
    <sheetView tabSelected="1" topLeftCell="N42" workbookViewId="0">
      <selection activeCell="J17" sqref="J17:O36"/>
    </sheetView>
  </sheetViews>
  <sheetFormatPr defaultColWidth="9" defaultRowHeight="15"/>
  <cols>
    <col min="1" max="1" width="7" style="15" customWidth="1"/>
    <col min="2" max="2" width="27.2190476190476" customWidth="1"/>
    <col min="3" max="3" width="13.3333333333333" customWidth="1"/>
    <col min="4" max="4" width="13.6666666666667" customWidth="1"/>
    <col min="8" max="8" width="10.4380952380952" customWidth="1"/>
    <col min="9" max="9" width="12.8571428571429"/>
    <col min="10" max="10" width="12.4380952380952" customWidth="1"/>
    <col min="11" max="12" width="12.8571428571429"/>
    <col min="13" max="13" width="12.3333333333333" customWidth="1"/>
    <col min="14" max="14" width="10.8857142857143" customWidth="1"/>
    <col min="16" max="16" width="12.552380952381" customWidth="1"/>
  </cols>
  <sheetData>
    <row r="1" customHeight="1" spans="1:23">
      <c r="A1" s="16" t="s">
        <v>0</v>
      </c>
      <c r="B1" s="17" t="s">
        <v>1</v>
      </c>
      <c r="C1" s="17" t="s">
        <v>2</v>
      </c>
      <c r="D1" s="18" t="s">
        <v>3</v>
      </c>
      <c r="E1" s="17"/>
      <c r="F1" s="17"/>
      <c r="G1" s="17"/>
      <c r="H1" s="17"/>
      <c r="I1" s="19"/>
      <c r="J1" s="17" t="s">
        <v>4</v>
      </c>
      <c r="K1" s="17"/>
      <c r="L1" s="17"/>
      <c r="M1" s="17"/>
      <c r="N1" s="17"/>
      <c r="O1" s="19"/>
    </row>
    <row r="2" spans="1:23">
      <c r="A2" s="20"/>
      <c r="B2" s="21"/>
      <c r="C2" s="21"/>
      <c r="D2" s="22" t="s">
        <v>5</v>
      </c>
      <c r="E2" s="23" t="s">
        <v>6</v>
      </c>
      <c r="F2" s="24" t="s">
        <v>7</v>
      </c>
      <c r="G2" s="24" t="s">
        <v>8</v>
      </c>
      <c r="H2" s="24" t="s">
        <v>9</v>
      </c>
      <c r="I2" s="25" t="s">
        <v>10</v>
      </c>
      <c r="J2" s="24" t="s">
        <v>5</v>
      </c>
      <c r="K2" s="23" t="s">
        <v>6</v>
      </c>
      <c r="L2" s="24" t="s">
        <v>7</v>
      </c>
      <c r="M2" s="24" t="s">
        <v>8</v>
      </c>
      <c r="N2" s="24" t="s">
        <v>9</v>
      </c>
      <c r="O2" s="25" t="s">
        <v>10</v>
      </c>
      <c r="Q2" s="26"/>
      <c r="R2" s="27"/>
      <c r="S2" s="26"/>
      <c r="T2" s="26"/>
      <c r="U2" s="26"/>
      <c r="V2" s="26"/>
      <c r="W2" s="14"/>
    </row>
    <row r="3" spans="1:23">
      <c r="A3" s="28">
        <v>1</v>
      </c>
      <c r="B3" s="24" t="s">
        <v>11</v>
      </c>
      <c r="C3" s="29" t="s">
        <v>6</v>
      </c>
      <c r="D3" s="30">
        <v>0.247106335673916</v>
      </c>
      <c r="E3" s="31">
        <v>0</v>
      </c>
      <c r="F3" s="32">
        <v>0.0115279690698496</v>
      </c>
      <c r="G3" s="33">
        <v>0.0115875368172953</v>
      </c>
      <c r="H3" s="33">
        <v>0.0166387208067727</v>
      </c>
      <c r="I3" s="34">
        <v>0.0115126746482082</v>
      </c>
      <c r="J3" s="35">
        <v>139.271591919492</v>
      </c>
      <c r="K3" s="35">
        <v>145.930507975182</v>
      </c>
      <c r="L3" s="36">
        <v>159.539336842047</v>
      </c>
      <c r="M3" s="36">
        <v>156.642368403147</v>
      </c>
      <c r="N3" s="36">
        <v>156.93085134945</v>
      </c>
      <c r="O3" s="37">
        <v>155.473089565196</v>
      </c>
      <c r="W3" s="14"/>
    </row>
    <row r="4" spans="1:23">
      <c r="A4" s="28">
        <v>2</v>
      </c>
      <c r="B4" s="24" t="s">
        <v>12</v>
      </c>
      <c r="C4" s="29" t="s">
        <v>6</v>
      </c>
      <c r="D4" s="30">
        <v>0.247937210382406</v>
      </c>
      <c r="E4" s="31">
        <v>0</v>
      </c>
      <c r="F4" s="32">
        <v>0.0115013953158919</v>
      </c>
      <c r="G4" s="33">
        <v>0.011533591817581</v>
      </c>
      <c r="H4" s="33">
        <v>0.0165514166058286</v>
      </c>
      <c r="I4" s="34">
        <v>0.011526347604701</v>
      </c>
      <c r="J4" s="35">
        <v>244.375568380009</v>
      </c>
      <c r="K4" s="35">
        <v>145.938514450436</v>
      </c>
      <c r="L4" s="36">
        <v>157.552330487699</v>
      </c>
      <c r="M4" s="36">
        <v>161.402732644968</v>
      </c>
      <c r="N4" s="36">
        <v>155.409848634607</v>
      </c>
      <c r="O4" s="37">
        <v>160.581336989931</v>
      </c>
      <c r="W4" s="14"/>
    </row>
    <row r="5" spans="1:23">
      <c r="A5" s="28">
        <v>3</v>
      </c>
      <c r="B5" s="24" t="s">
        <v>13</v>
      </c>
      <c r="C5" s="29" t="s">
        <v>6</v>
      </c>
      <c r="D5" s="30">
        <v>0.248572243052066</v>
      </c>
      <c r="E5" s="31">
        <v>0</v>
      </c>
      <c r="F5" s="32">
        <v>0.0118947534562508</v>
      </c>
      <c r="G5" s="33">
        <v>0.011926964554907</v>
      </c>
      <c r="H5" s="33">
        <v>0.0169865228763222</v>
      </c>
      <c r="I5" s="34">
        <v>0.0105402767577596</v>
      </c>
      <c r="J5" s="35">
        <v>193.556812005375</v>
      </c>
      <c r="K5" s="35">
        <v>121.811934425249</v>
      </c>
      <c r="L5" s="36">
        <v>153.515120119365</v>
      </c>
      <c r="M5" s="36">
        <v>156.278588963495</v>
      </c>
      <c r="N5" s="36">
        <v>161.145863967041</v>
      </c>
      <c r="O5" s="37">
        <v>160.979657099896</v>
      </c>
      <c r="W5" s="14"/>
    </row>
    <row r="6" spans="1:23">
      <c r="A6" s="28">
        <v>4</v>
      </c>
      <c r="B6" s="24" t="s">
        <v>14</v>
      </c>
      <c r="C6" s="29" t="s">
        <v>6</v>
      </c>
      <c r="D6" s="30">
        <v>0.249056649344062</v>
      </c>
      <c r="E6" s="31">
        <v>0</v>
      </c>
      <c r="F6" s="32">
        <v>0.0117428740495043</v>
      </c>
      <c r="G6" s="33">
        <v>0.0116615611275929</v>
      </c>
      <c r="H6" s="33">
        <v>0.0167866904433165</v>
      </c>
      <c r="I6" s="34">
        <v>0.0116776626962882</v>
      </c>
      <c r="J6" s="35">
        <v>151.779063808308</v>
      </c>
      <c r="K6" s="35">
        <v>139.871698728739</v>
      </c>
      <c r="L6" s="36">
        <v>158.290364437271</v>
      </c>
      <c r="M6" s="36">
        <v>159.202618333401</v>
      </c>
      <c r="N6" s="36">
        <v>144.298703353404</v>
      </c>
      <c r="O6" s="37">
        <v>159.31861489679</v>
      </c>
      <c r="W6" s="14"/>
    </row>
    <row r="7" spans="1:23">
      <c r="A7" s="38">
        <v>5</v>
      </c>
      <c r="B7" s="39" t="s">
        <v>15</v>
      </c>
      <c r="C7" s="40" t="s">
        <v>6</v>
      </c>
      <c r="D7" s="41">
        <v>0.206921125487225</v>
      </c>
      <c r="E7" s="42">
        <v>0</v>
      </c>
      <c r="F7" s="43">
        <v>0.0114512903915976</v>
      </c>
      <c r="G7" s="44">
        <v>0.0113764874129912</v>
      </c>
      <c r="H7" s="44">
        <v>0.0135095788029271</v>
      </c>
      <c r="I7" s="45">
        <v>0.00979999453053485</v>
      </c>
      <c r="J7" s="46">
        <v>163.273938359337</v>
      </c>
      <c r="K7" s="46">
        <v>145.367447307993</v>
      </c>
      <c r="L7" s="47">
        <v>137.554305065691</v>
      </c>
      <c r="M7" s="47">
        <v>137.779572238833</v>
      </c>
      <c r="N7" s="47">
        <v>141.117681386848</v>
      </c>
      <c r="O7" s="48">
        <v>156.728897681382</v>
      </c>
      <c r="W7" s="14"/>
    </row>
    <row r="8" spans="1:23">
      <c r="W8" s="14"/>
    </row>
    <row r="9" spans="1:23">
      <c r="W9" s="14"/>
    </row>
    <row r="10" spans="1:23">
      <c r="W10" s="14"/>
    </row>
    <row r="11" spans="1:23">
      <c r="W11" s="14"/>
    </row>
    <row r="12" spans="1:23">
      <c r="W12" s="14"/>
    </row>
    <row r="13" spans="1:23">
      <c r="W13" s="14"/>
    </row>
    <row r="14" spans="1:23">
      <c r="W14" s="14"/>
    </row>
    <row r="15" customHeight="1" spans="1:23">
      <c r="A15" s="49" t="s">
        <v>0</v>
      </c>
      <c r="B15" s="50" t="s">
        <v>1</v>
      </c>
      <c r="C15" s="51" t="s">
        <v>2</v>
      </c>
      <c r="D15" s="52" t="s">
        <v>3</v>
      </c>
      <c r="E15" s="50"/>
      <c r="F15" s="50"/>
      <c r="G15" s="50"/>
      <c r="H15" s="50"/>
      <c r="I15" s="51"/>
      <c r="J15" s="53" t="s">
        <v>16</v>
      </c>
      <c r="K15" s="50"/>
      <c r="L15" s="50"/>
      <c r="M15" s="50"/>
      <c r="N15" s="50"/>
      <c r="O15" s="51"/>
      <c r="P15" s="52" t="s">
        <v>4</v>
      </c>
      <c r="Q15" s="50"/>
      <c r="R15" s="50"/>
      <c r="S15" s="50"/>
      <c r="T15" s="50"/>
      <c r="U15" s="51"/>
      <c r="W15" s="14"/>
    </row>
    <row r="16" spans="1:23">
      <c r="A16" s="54"/>
      <c r="B16" s="55"/>
      <c r="C16" s="56"/>
      <c r="D16" s="57" t="s">
        <v>5</v>
      </c>
      <c r="E16" s="58" t="s">
        <v>6</v>
      </c>
      <c r="F16" s="59" t="s">
        <v>7</v>
      </c>
      <c r="G16" s="59" t="s">
        <v>8</v>
      </c>
      <c r="H16" s="59" t="s">
        <v>9</v>
      </c>
      <c r="I16" s="60" t="s">
        <v>10</v>
      </c>
      <c r="J16" s="57" t="s">
        <v>5</v>
      </c>
      <c r="K16" s="58" t="s">
        <v>6</v>
      </c>
      <c r="L16" s="59" t="s">
        <v>7</v>
      </c>
      <c r="M16" s="59" t="s">
        <v>8</v>
      </c>
      <c r="N16" s="59" t="s">
        <v>9</v>
      </c>
      <c r="O16" s="60" t="s">
        <v>10</v>
      </c>
      <c r="P16" s="57" t="s">
        <v>5</v>
      </c>
      <c r="Q16" s="58" t="s">
        <v>6</v>
      </c>
      <c r="R16" s="59" t="s">
        <v>7</v>
      </c>
      <c r="S16" s="59" t="s">
        <v>8</v>
      </c>
      <c r="T16" s="59" t="s">
        <v>9</v>
      </c>
      <c r="U16" s="60" t="s">
        <v>10</v>
      </c>
      <c r="W16" s="14"/>
    </row>
    <row r="17" spans="1:23">
      <c r="A17" s="61">
        <v>6</v>
      </c>
      <c r="B17" s="6" t="s">
        <v>17</v>
      </c>
      <c r="C17" s="62" t="s">
        <v>18</v>
      </c>
      <c r="D17" s="63">
        <v>0</v>
      </c>
      <c r="E17" s="64">
        <v>0.00338948240920977</v>
      </c>
      <c r="F17" s="64">
        <v>0.0255292918479831</v>
      </c>
      <c r="G17" s="64">
        <v>0.0249107479316131</v>
      </c>
      <c r="H17" s="64">
        <v>0.0303606326011872</v>
      </c>
      <c r="I17" s="65">
        <v>0.0238524202587914</v>
      </c>
      <c r="J17" s="63">
        <v>0.016372393480642</v>
      </c>
      <c r="K17" s="66">
        <v>0</v>
      </c>
      <c r="L17" s="64">
        <v>0.0218800035454274</v>
      </c>
      <c r="M17" s="64">
        <v>0.0214579675756026</v>
      </c>
      <c r="N17" s="64">
        <v>0.0268736892693086</v>
      </c>
      <c r="O17" s="67">
        <v>0.0208180016637487</v>
      </c>
      <c r="P17" s="68">
        <v>169.305477574832</v>
      </c>
      <c r="Q17" s="69">
        <v>86.1756789034677</v>
      </c>
      <c r="R17" s="70">
        <v>162.505397295792</v>
      </c>
      <c r="S17" s="70">
        <v>151.238235241446</v>
      </c>
      <c r="T17" s="70">
        <v>135.303637349483</v>
      </c>
      <c r="U17" s="71">
        <v>151.487132310063</v>
      </c>
      <c r="W17" s="14"/>
    </row>
    <row r="18" spans="1:23">
      <c r="A18" s="61">
        <v>7</v>
      </c>
      <c r="B18" s="6" t="s">
        <v>19</v>
      </c>
      <c r="C18" s="62" t="s">
        <v>6</v>
      </c>
      <c r="D18" s="63">
        <v>0.00176605461098754</v>
      </c>
      <c r="E18" s="64">
        <v>0</v>
      </c>
      <c r="F18" s="64">
        <v>0.022048823961565</v>
      </c>
      <c r="G18" s="64">
        <v>0.0214762561571829</v>
      </c>
      <c r="H18" s="64">
        <v>0.0267284209696401</v>
      </c>
      <c r="I18" s="65">
        <v>0.0215428905503819</v>
      </c>
      <c r="J18" s="63">
        <v>0.0166540899732311</v>
      </c>
      <c r="K18" s="66">
        <v>0</v>
      </c>
      <c r="L18" s="64">
        <v>0.0218663704638522</v>
      </c>
      <c r="M18" s="64">
        <v>0.0214801250296798</v>
      </c>
      <c r="N18" s="64">
        <v>0.0267192394136225</v>
      </c>
      <c r="O18" s="67">
        <v>0.0215167167023909</v>
      </c>
      <c r="P18" s="68">
        <v>167.895480766582</v>
      </c>
      <c r="Q18" s="69">
        <v>91.8091028109267</v>
      </c>
      <c r="R18" s="70">
        <v>159.876074253417</v>
      </c>
      <c r="S18" s="70">
        <v>160.246403263686</v>
      </c>
      <c r="T18" s="70">
        <v>137.704228651197</v>
      </c>
      <c r="U18" s="71">
        <v>154.315403449696</v>
      </c>
      <c r="W18" s="14"/>
    </row>
    <row r="19" spans="1:23">
      <c r="A19" s="61">
        <v>8</v>
      </c>
      <c r="B19" s="6" t="s">
        <v>20</v>
      </c>
      <c r="C19" s="62" t="s">
        <v>6</v>
      </c>
      <c r="D19" s="63">
        <v>0.000742409035875882</v>
      </c>
      <c r="E19" s="64">
        <v>-3.4728860001395e-6</v>
      </c>
      <c r="F19" s="64">
        <v>0.0210206620786338</v>
      </c>
      <c r="G19" s="64">
        <v>0.0204119352577583</v>
      </c>
      <c r="H19" s="64">
        <v>0.0256927451730071</v>
      </c>
      <c r="I19" s="65">
        <v>0.0214974988848531</v>
      </c>
      <c r="J19" s="63">
        <v>0.0164606811910681</v>
      </c>
      <c r="K19" s="66">
        <v>0</v>
      </c>
      <c r="L19" s="64">
        <v>0.021686603979441</v>
      </c>
      <c r="M19" s="64">
        <v>0.02127035126201</v>
      </c>
      <c r="N19" s="64">
        <v>0.026538549716997</v>
      </c>
      <c r="O19" s="67">
        <v>0.0207175156216718</v>
      </c>
      <c r="P19" s="68">
        <v>167.895480766582</v>
      </c>
      <c r="Q19" s="69">
        <v>84.7644698158243</v>
      </c>
      <c r="R19" s="70">
        <v>157.824544849152</v>
      </c>
      <c r="S19" s="70">
        <v>160.641055465448</v>
      </c>
      <c r="T19" s="70">
        <v>139.918641265859</v>
      </c>
      <c r="U19" s="71">
        <v>158.386240394538</v>
      </c>
      <c r="W19" s="14"/>
    </row>
    <row r="20" spans="1:23">
      <c r="A20" s="61">
        <v>9</v>
      </c>
      <c r="B20" s="6" t="s">
        <v>21</v>
      </c>
      <c r="C20" s="72" t="s">
        <v>6</v>
      </c>
      <c r="D20" s="63">
        <v>0.00871432098285511</v>
      </c>
      <c r="E20" s="64">
        <v>0</v>
      </c>
      <c r="F20" s="64">
        <v>0.0181141646416817</v>
      </c>
      <c r="G20" s="64">
        <v>0.0176203490683308</v>
      </c>
      <c r="H20" s="64">
        <v>0.0227003688520908</v>
      </c>
      <c r="I20" s="65">
        <v>0.0180988344279648</v>
      </c>
      <c r="J20" s="63">
        <v>0.0166578371381312</v>
      </c>
      <c r="K20" s="66">
        <v>0</v>
      </c>
      <c r="L20" s="64">
        <v>0.0179247529757132</v>
      </c>
      <c r="M20" s="64">
        <v>0.0176234149376182</v>
      </c>
      <c r="N20" s="64">
        <v>0.0226862179970093</v>
      </c>
      <c r="O20" s="67">
        <v>0.0179652554001883</v>
      </c>
      <c r="P20" s="68">
        <v>230.429907952392</v>
      </c>
      <c r="Q20" s="69">
        <v>123.124703087005</v>
      </c>
      <c r="R20" s="70">
        <v>159.711094393496</v>
      </c>
      <c r="S20" s="70">
        <v>154.690856042489</v>
      </c>
      <c r="T20" s="70">
        <v>138.853147912689</v>
      </c>
      <c r="U20" s="71">
        <v>161.018908202374</v>
      </c>
      <c r="W20" s="14"/>
    </row>
    <row r="21" spans="1:23">
      <c r="A21" s="61">
        <v>10</v>
      </c>
      <c r="B21" s="6" t="s">
        <v>22</v>
      </c>
      <c r="C21" s="72" t="s">
        <v>6</v>
      </c>
      <c r="D21" s="63">
        <v>0.00840975351921551</v>
      </c>
      <c r="E21" s="64">
        <v>0</v>
      </c>
      <c r="F21" s="64">
        <v>0.0176181624652509</v>
      </c>
      <c r="G21" s="64">
        <v>0.017509723259196</v>
      </c>
      <c r="H21" s="64">
        <v>0.0192264195630832</v>
      </c>
      <c r="I21" s="65">
        <v>0.0197041834617813</v>
      </c>
      <c r="J21" s="63">
        <v>0.0153261770617541</v>
      </c>
      <c r="K21" s="66">
        <v>0</v>
      </c>
      <c r="L21" s="64">
        <v>0.0199163245077697</v>
      </c>
      <c r="M21" s="64">
        <v>0.0199171356311919</v>
      </c>
      <c r="N21" s="64">
        <v>0.0217543301823892</v>
      </c>
      <c r="O21" s="67">
        <v>0.0186209604025768</v>
      </c>
      <c r="P21" s="68">
        <v>175.244944484479</v>
      </c>
      <c r="Q21" s="69">
        <v>108.02948600778</v>
      </c>
      <c r="R21" s="70">
        <v>142.181865465918</v>
      </c>
      <c r="S21" s="70">
        <v>154.000147316233</v>
      </c>
      <c r="T21" s="70">
        <v>158.230899806845</v>
      </c>
      <c r="U21" s="71">
        <v>170.86800291453</v>
      </c>
      <c r="W21" s="14"/>
    </row>
    <row r="22" spans="1:23">
      <c r="A22" s="61">
        <v>11</v>
      </c>
      <c r="B22" s="6" t="s">
        <v>23</v>
      </c>
      <c r="C22" s="62" t="s">
        <v>18</v>
      </c>
      <c r="D22" s="63">
        <v>0</v>
      </c>
      <c r="E22" s="64">
        <v>0.0227296547607904</v>
      </c>
      <c r="F22" s="64">
        <v>0.0456368935751792</v>
      </c>
      <c r="G22" s="64">
        <v>0.0439098734525601</v>
      </c>
      <c r="H22" s="64">
        <v>0.0493401083457944</v>
      </c>
      <c r="I22" s="65">
        <v>0.0419872676489955</v>
      </c>
      <c r="J22" s="63">
        <v>0.0165327568664863</v>
      </c>
      <c r="K22" s="66">
        <v>0</v>
      </c>
      <c r="L22" s="64">
        <v>0.0220453024214373</v>
      </c>
      <c r="M22" s="64">
        <v>0.0210782890450968</v>
      </c>
      <c r="N22" s="64">
        <v>0.0263468446817111</v>
      </c>
      <c r="O22" s="67">
        <v>0.0208253528297545</v>
      </c>
      <c r="P22" s="68">
        <v>169.305477574832</v>
      </c>
      <c r="Q22" s="69">
        <v>85.0410882425308</v>
      </c>
      <c r="R22" s="70">
        <v>165.693757326103</v>
      </c>
      <c r="S22" s="70">
        <v>152.91197859863</v>
      </c>
      <c r="T22" s="70">
        <v>148.34276643532</v>
      </c>
      <c r="U22" s="71">
        <v>151.168974020186</v>
      </c>
      <c r="W22" s="14"/>
    </row>
    <row r="23" spans="1:23">
      <c r="A23" s="61">
        <v>12</v>
      </c>
      <c r="B23" s="6" t="s">
        <v>24</v>
      </c>
      <c r="C23" s="62" t="s">
        <v>18</v>
      </c>
      <c r="D23" s="63">
        <v>0</v>
      </c>
      <c r="E23" s="64">
        <v>0.0126730420267299</v>
      </c>
      <c r="F23" s="64">
        <v>0.0351646380986049</v>
      </c>
      <c r="G23" s="64">
        <v>0.0335304197286743</v>
      </c>
      <c r="H23" s="64">
        <v>0.0389572990390068</v>
      </c>
      <c r="I23" s="65">
        <v>0.0337692838456774</v>
      </c>
      <c r="J23" s="63">
        <v>0.0167036938249759</v>
      </c>
      <c r="K23" s="66">
        <v>0</v>
      </c>
      <c r="L23" s="64">
        <v>0.0218609318483437</v>
      </c>
      <c r="M23" s="64">
        <v>0.0209713042233729</v>
      </c>
      <c r="N23" s="64">
        <v>0.026284674334487</v>
      </c>
      <c r="O23" s="67">
        <v>0.0210892164771396</v>
      </c>
      <c r="P23" s="68">
        <v>169.557303944869</v>
      </c>
      <c r="Q23" s="69">
        <v>89.192741945685</v>
      </c>
      <c r="R23" s="70">
        <v>161.4101112694</v>
      </c>
      <c r="S23" s="70">
        <v>155.942472047933</v>
      </c>
      <c r="T23" s="70">
        <v>144.087456059451</v>
      </c>
      <c r="U23" s="71">
        <v>162.436289240136</v>
      </c>
      <c r="W23" s="14"/>
    </row>
    <row r="24" spans="1:23">
      <c r="A24" s="61">
        <v>13</v>
      </c>
      <c r="B24" s="6" t="s">
        <v>25</v>
      </c>
      <c r="C24" s="62" t="s">
        <v>18</v>
      </c>
      <c r="D24" s="63">
        <v>0</v>
      </c>
      <c r="E24" s="64">
        <v>0.0145228052418619</v>
      </c>
      <c r="F24" s="64">
        <v>0.0351974783502662</v>
      </c>
      <c r="G24" s="64">
        <v>0.0334243265471138</v>
      </c>
      <c r="H24" s="64">
        <v>0.0389809668325341</v>
      </c>
      <c r="I24" s="65">
        <v>0.0371085021795677</v>
      </c>
      <c r="J24" s="63">
        <v>0.0164904315984083</v>
      </c>
      <c r="K24" s="66">
        <v>0</v>
      </c>
      <c r="L24" s="64">
        <v>0.021675856473163</v>
      </c>
      <c r="M24" s="64">
        <v>0.0206522675867855</v>
      </c>
      <c r="N24" s="64">
        <v>0.0260954189722484</v>
      </c>
      <c r="O24" s="67">
        <v>0.0210595892961382</v>
      </c>
      <c r="P24" s="68">
        <v>169.557303944869</v>
      </c>
      <c r="Q24" s="69">
        <v>85.6811409514191</v>
      </c>
      <c r="R24" s="70">
        <v>160.266560375946</v>
      </c>
      <c r="S24" s="70">
        <v>150.296579307645</v>
      </c>
      <c r="T24" s="70">
        <v>140.189859983184</v>
      </c>
      <c r="U24" s="71">
        <v>156.859689132476</v>
      </c>
      <c r="W24" s="14"/>
    </row>
    <row r="25" spans="1:23">
      <c r="A25" s="61">
        <v>14</v>
      </c>
      <c r="B25" s="6" t="s">
        <v>26</v>
      </c>
      <c r="C25" s="72" t="s">
        <v>6</v>
      </c>
      <c r="D25" s="63">
        <v>0.00111223662884931</v>
      </c>
      <c r="E25" s="64">
        <v>2.80513651664835e-6</v>
      </c>
      <c r="F25" s="64">
        <v>0.0183713844907119</v>
      </c>
      <c r="G25" s="64">
        <v>0.0167817603790051</v>
      </c>
      <c r="H25" s="64">
        <v>0.022040362797656</v>
      </c>
      <c r="I25" s="65">
        <v>0.0179309780575988</v>
      </c>
      <c r="J25" s="63">
        <v>0.016696545092661</v>
      </c>
      <c r="K25" s="66">
        <v>0</v>
      </c>
      <c r="L25" s="64">
        <v>0.0179975324983575</v>
      </c>
      <c r="M25" s="64">
        <v>0.0171372282487624</v>
      </c>
      <c r="N25" s="64">
        <v>0.0223541391408461</v>
      </c>
      <c r="O25" s="67">
        <v>0.0177747606823136</v>
      </c>
      <c r="P25" s="68">
        <v>237.12833172201</v>
      </c>
      <c r="Q25" s="69">
        <v>120.181952406386</v>
      </c>
      <c r="R25" s="70">
        <v>160.802162838951</v>
      </c>
      <c r="S25" s="70">
        <v>162.881127904275</v>
      </c>
      <c r="T25" s="70">
        <v>146.488248222745</v>
      </c>
      <c r="U25" s="71">
        <v>160.133583035504</v>
      </c>
      <c r="W25" s="14"/>
    </row>
    <row r="26" spans="1:23">
      <c r="A26" s="61">
        <v>15</v>
      </c>
      <c r="B26" s="6" t="s">
        <v>27</v>
      </c>
      <c r="C26" s="72" t="s">
        <v>6</v>
      </c>
      <c r="D26" s="63">
        <v>0.0017105055128661</v>
      </c>
      <c r="E26" s="64">
        <v>0</v>
      </c>
      <c r="F26" s="64">
        <v>0.0152269646800081</v>
      </c>
      <c r="G26" s="64">
        <v>0.01494850488024</v>
      </c>
      <c r="H26" s="64">
        <v>0.0163059149241213</v>
      </c>
      <c r="I26" s="65">
        <v>0.0205785237468148</v>
      </c>
      <c r="J26" s="63">
        <v>0.0152446516788502</v>
      </c>
      <c r="K26" s="66">
        <v>0</v>
      </c>
      <c r="L26" s="64">
        <v>0.0197338593316718</v>
      </c>
      <c r="M26" s="64">
        <v>0.0198538959590643</v>
      </c>
      <c r="N26" s="64">
        <v>0.021338132635607</v>
      </c>
      <c r="O26" s="67">
        <v>0.0185756680889926</v>
      </c>
      <c r="P26" s="68">
        <v>180.348067726359</v>
      </c>
      <c r="Q26" s="69">
        <v>112.025330119671</v>
      </c>
      <c r="R26" s="70">
        <v>145.236126417783</v>
      </c>
      <c r="S26" s="70">
        <v>158.793757215221</v>
      </c>
      <c r="T26" s="70">
        <v>164.211825319422</v>
      </c>
      <c r="U26" s="71">
        <v>163.253784722791</v>
      </c>
      <c r="W26" s="14"/>
    </row>
    <row r="27" spans="1:23">
      <c r="A27" s="61">
        <v>16</v>
      </c>
      <c r="B27" s="6" t="s">
        <v>28</v>
      </c>
      <c r="C27" s="62" t="s">
        <v>18</v>
      </c>
      <c r="D27" s="63">
        <v>0</v>
      </c>
      <c r="E27" s="64">
        <v>0.0813836770844084</v>
      </c>
      <c r="F27" s="64">
        <v>0.105934936518261</v>
      </c>
      <c r="G27" s="64">
        <v>0.100837475707804</v>
      </c>
      <c r="H27" s="64">
        <v>0.106906984391389</v>
      </c>
      <c r="I27" s="73">
        <v>0.0905966699389626</v>
      </c>
      <c r="J27" s="63">
        <v>0.0163699140317265</v>
      </c>
      <c r="K27" s="66">
        <v>0</v>
      </c>
      <c r="L27" s="64">
        <v>0.0218433575440982</v>
      </c>
      <c r="M27" s="64">
        <v>0.0211578557047089</v>
      </c>
      <c r="N27" s="64">
        <v>0.0265686851700662</v>
      </c>
      <c r="O27" s="67">
        <v>0.0208236430641525</v>
      </c>
      <c r="P27" s="68">
        <v>169.305477574832</v>
      </c>
      <c r="Q27" s="69">
        <v>88.9370703007707</v>
      </c>
      <c r="R27" s="70">
        <v>168.379079757553</v>
      </c>
      <c r="S27" s="70">
        <v>150.247564543707</v>
      </c>
      <c r="T27" s="70">
        <v>168.813795952662</v>
      </c>
      <c r="U27" s="71">
        <v>163.748371144973</v>
      </c>
    </row>
    <row r="28" spans="1:23">
      <c r="A28" s="61">
        <v>17</v>
      </c>
      <c r="B28" s="6" t="s">
        <v>29</v>
      </c>
      <c r="C28" s="62" t="s">
        <v>18</v>
      </c>
      <c r="D28" s="63">
        <v>0</v>
      </c>
      <c r="E28" s="64">
        <v>0.0554500884907041</v>
      </c>
      <c r="F28" s="64">
        <v>0.0792758030870539</v>
      </c>
      <c r="G28" s="64">
        <v>0.0743020536050471</v>
      </c>
      <c r="H28" s="64">
        <v>0.080243998940493</v>
      </c>
      <c r="I28" s="73">
        <v>0.0749650458303183</v>
      </c>
      <c r="J28" s="63">
        <v>0.0165342339785988</v>
      </c>
      <c r="K28" s="66">
        <v>0</v>
      </c>
      <c r="L28" s="64">
        <v>0.0217141909356038</v>
      </c>
      <c r="M28" s="64">
        <v>0.0210426096380859</v>
      </c>
      <c r="N28" s="64">
        <v>0.0264624170584902</v>
      </c>
      <c r="O28" s="67">
        <v>0.0209865090212231</v>
      </c>
      <c r="P28" s="68">
        <v>174.542774032917</v>
      </c>
      <c r="Q28" s="69">
        <v>81.645687150414</v>
      </c>
      <c r="R28" s="70">
        <v>172.724928468575</v>
      </c>
      <c r="S28" s="70">
        <v>174.440757003482</v>
      </c>
      <c r="T28" s="70">
        <v>169.218513746982</v>
      </c>
      <c r="U28" s="71">
        <v>164.053678715231</v>
      </c>
    </row>
    <row r="29" spans="1:23">
      <c r="A29" s="61">
        <v>18</v>
      </c>
      <c r="B29" s="6" t="s">
        <v>30</v>
      </c>
      <c r="C29" s="62" t="s">
        <v>18</v>
      </c>
      <c r="D29" s="63">
        <v>0</v>
      </c>
      <c r="E29" s="64">
        <v>0.0597661549944887</v>
      </c>
      <c r="F29" s="64">
        <v>0.0792810342569405</v>
      </c>
      <c r="G29" s="64">
        <v>0.0744461059698383</v>
      </c>
      <c r="H29" s="64">
        <v>0.0802308819771947</v>
      </c>
      <c r="I29" s="73">
        <v>0.0822054143779486</v>
      </c>
      <c r="J29" s="63">
        <v>0.0162772588202015</v>
      </c>
      <c r="K29" s="66">
        <v>0</v>
      </c>
      <c r="L29" s="64">
        <v>0.0214575320017818</v>
      </c>
      <c r="M29" s="64">
        <v>0.0209324329157469</v>
      </c>
      <c r="N29" s="64">
        <v>0.0261907393980382</v>
      </c>
      <c r="O29" s="67">
        <v>0.0204300935424193</v>
      </c>
      <c r="P29" s="68">
        <v>174.542774032917</v>
      </c>
      <c r="Q29" s="69">
        <v>82.7783002966352</v>
      </c>
      <c r="R29" s="70">
        <v>170.756361733227</v>
      </c>
      <c r="S29" s="70">
        <v>165.926496309758</v>
      </c>
      <c r="T29" s="70">
        <v>169.04962764012</v>
      </c>
      <c r="U29" s="71">
        <v>174.305895871386</v>
      </c>
    </row>
    <row r="30" spans="1:23">
      <c r="A30" s="61">
        <v>19</v>
      </c>
      <c r="B30" s="6" t="s">
        <v>31</v>
      </c>
      <c r="C30" s="62" t="s">
        <v>18</v>
      </c>
      <c r="D30" s="63">
        <v>0</v>
      </c>
      <c r="E30" s="64">
        <v>0.0207291511127544</v>
      </c>
      <c r="F30" s="64">
        <v>0.0397856822890946</v>
      </c>
      <c r="G30" s="64">
        <v>0.0351692873716085</v>
      </c>
      <c r="H30" s="64">
        <v>0.0406932848095148</v>
      </c>
      <c r="I30" s="73">
        <v>0.0379085687592312</v>
      </c>
      <c r="J30" s="63">
        <v>0.0165269108000386</v>
      </c>
      <c r="K30" s="66">
        <v>0</v>
      </c>
      <c r="L30" s="64">
        <v>0.0177831342085589</v>
      </c>
      <c r="M30" s="64">
        <v>0.0172671997719197</v>
      </c>
      <c r="N30" s="64">
        <v>0.0224751407885454</v>
      </c>
      <c r="O30" s="67">
        <v>0.0171529976438724</v>
      </c>
      <c r="P30" s="68">
        <v>257.223625572442</v>
      </c>
      <c r="Q30" s="69">
        <v>114.41646628252</v>
      </c>
      <c r="R30" s="70">
        <v>172.776223750321</v>
      </c>
      <c r="S30" s="70">
        <v>176.211613886318</v>
      </c>
      <c r="T30" s="70">
        <v>160.605683683918</v>
      </c>
      <c r="U30" s="71">
        <v>172.132572435959</v>
      </c>
    </row>
    <row r="31" spans="1:23">
      <c r="A31" s="61">
        <v>20</v>
      </c>
      <c r="B31" s="6" t="s">
        <v>32</v>
      </c>
      <c r="C31" s="62" t="s">
        <v>18</v>
      </c>
      <c r="D31" s="63">
        <v>0</v>
      </c>
      <c r="E31" s="64">
        <v>0.0169474790169713</v>
      </c>
      <c r="F31" s="64">
        <v>0.0263434833032007</v>
      </c>
      <c r="G31" s="64">
        <v>0.0230352231230538</v>
      </c>
      <c r="H31" s="64">
        <v>0.0259798384787133</v>
      </c>
      <c r="I31" s="73">
        <v>0.040236012345325</v>
      </c>
      <c r="J31" s="63">
        <v>0.0151071587285626</v>
      </c>
      <c r="K31" s="66">
        <v>0</v>
      </c>
      <c r="L31" s="64">
        <v>0.0198074159614118</v>
      </c>
      <c r="M31" s="64">
        <v>0.0187385859005259</v>
      </c>
      <c r="N31" s="64">
        <v>0.020952475176868</v>
      </c>
      <c r="O31" s="67">
        <v>0.0188521186839281</v>
      </c>
      <c r="P31" s="68">
        <v>195.657439566951</v>
      </c>
      <c r="Q31" s="69">
        <v>106.248978787662</v>
      </c>
      <c r="R31" s="70">
        <v>161.527724095017</v>
      </c>
      <c r="S31" s="70">
        <v>181.272902200987</v>
      </c>
      <c r="T31" s="70">
        <v>158.546805391972</v>
      </c>
      <c r="U31" s="71">
        <v>166.487081271381</v>
      </c>
    </row>
    <row r="32" spans="1:23">
      <c r="A32" s="61">
        <v>21</v>
      </c>
      <c r="B32" s="6" t="s">
        <v>33</v>
      </c>
      <c r="C32" s="62" t="s">
        <v>18</v>
      </c>
      <c r="D32" s="63">
        <v>0</v>
      </c>
      <c r="E32" s="64">
        <v>0.178814964872824</v>
      </c>
      <c r="F32" s="64">
        <v>0.206480025794332</v>
      </c>
      <c r="G32" s="64">
        <v>0.189860203362384</v>
      </c>
      <c r="H32" s="64">
        <v>0.197160463305883</v>
      </c>
      <c r="I32" s="73">
        <v>0.155313160309692</v>
      </c>
      <c r="J32" s="63">
        <v>0.0164409963648784</v>
      </c>
      <c r="K32" s="66">
        <v>0</v>
      </c>
      <c r="L32" s="64">
        <v>0.0219270210706938</v>
      </c>
      <c r="M32" s="64">
        <v>0.0215065830670018</v>
      </c>
      <c r="N32" s="64">
        <v>0.0269446274203648</v>
      </c>
      <c r="O32" s="67">
        <v>0.0226882008994283</v>
      </c>
      <c r="P32" s="68">
        <v>169.305477574832</v>
      </c>
      <c r="Q32" s="69">
        <v>96.4804418413105</v>
      </c>
      <c r="R32" s="70">
        <v>180.53500979909</v>
      </c>
      <c r="S32" s="70">
        <v>200.397681991006</v>
      </c>
      <c r="T32" s="70">
        <v>170.994642190608</v>
      </c>
      <c r="U32" s="71">
        <v>182.041378971635</v>
      </c>
    </row>
    <row r="33" spans="1:21">
      <c r="A33" s="61">
        <v>22</v>
      </c>
      <c r="B33" s="6" t="s">
        <v>34</v>
      </c>
      <c r="C33" s="62" t="s">
        <v>18</v>
      </c>
      <c r="D33" s="63">
        <v>0</v>
      </c>
      <c r="E33" s="64">
        <v>0.123697599213604</v>
      </c>
      <c r="F33" s="64">
        <v>0.149943548365572</v>
      </c>
      <c r="G33" s="64">
        <v>0.13447545736119</v>
      </c>
      <c r="H33" s="64">
        <v>0.141310051593858</v>
      </c>
      <c r="I33" s="73">
        <v>0.136084090629181</v>
      </c>
      <c r="J33" s="63">
        <v>0.0166441697837046</v>
      </c>
      <c r="K33" s="66">
        <v>0</v>
      </c>
      <c r="L33" s="64">
        <v>0.0218084241340055</v>
      </c>
      <c r="M33" s="64">
        <v>0.0216669377134494</v>
      </c>
      <c r="N33" s="64">
        <v>0.0270206537648398</v>
      </c>
      <c r="O33" s="67">
        <v>0.0208424134005529</v>
      </c>
      <c r="P33" s="68">
        <v>182.851892539464</v>
      </c>
      <c r="Q33" s="69">
        <v>92.0740004161402</v>
      </c>
      <c r="R33" s="70">
        <v>187.16649947658</v>
      </c>
      <c r="S33" s="70">
        <v>178.62770008272</v>
      </c>
      <c r="T33" s="70">
        <v>166.015165049207</v>
      </c>
      <c r="U33" s="71">
        <v>192.816484540421</v>
      </c>
    </row>
    <row r="34" spans="1:21">
      <c r="A34" s="61">
        <v>23</v>
      </c>
      <c r="B34" s="6" t="s">
        <v>35</v>
      </c>
      <c r="C34" s="62" t="s">
        <v>18</v>
      </c>
      <c r="D34" s="63">
        <v>0</v>
      </c>
      <c r="E34" s="64">
        <v>0.131892980970404</v>
      </c>
      <c r="F34" s="64">
        <v>0.149974738799183</v>
      </c>
      <c r="G34" s="64">
        <v>0.134313938196423</v>
      </c>
      <c r="H34" s="64">
        <v>0.141207939147388</v>
      </c>
      <c r="I34" s="73">
        <v>0.149910146385322</v>
      </c>
      <c r="J34" s="63">
        <v>0.0164003593218409</v>
      </c>
      <c r="K34" s="66">
        <v>0</v>
      </c>
      <c r="L34" s="64">
        <v>0.0215625622411277</v>
      </c>
      <c r="M34" s="64">
        <v>0.0212942902783931</v>
      </c>
      <c r="N34" s="64">
        <v>0.0266857437840167</v>
      </c>
      <c r="O34" s="67">
        <v>0.0202716050386353</v>
      </c>
      <c r="P34" s="68">
        <v>182.851892539464</v>
      </c>
      <c r="Q34" s="69">
        <v>103.303707963207</v>
      </c>
      <c r="R34" s="70">
        <v>185.32999948882</v>
      </c>
      <c r="S34" s="70">
        <v>185.412224303177</v>
      </c>
      <c r="T34" s="70">
        <v>185.809458430148</v>
      </c>
      <c r="U34" s="71">
        <v>200.667612313445</v>
      </c>
    </row>
    <row r="35" spans="1:21">
      <c r="A35" s="61">
        <v>24</v>
      </c>
      <c r="B35" s="6" t="s">
        <v>36</v>
      </c>
      <c r="C35" s="62" t="s">
        <v>18</v>
      </c>
      <c r="D35" s="63">
        <v>0</v>
      </c>
      <c r="E35" s="64">
        <v>0.0538001218204681</v>
      </c>
      <c r="F35" s="64">
        <v>0.07429060949416</v>
      </c>
      <c r="G35" s="64">
        <v>0.0596420188002466</v>
      </c>
      <c r="H35" s="64">
        <v>0.0660707912275016</v>
      </c>
      <c r="I35" s="73">
        <v>0.0689625669211123</v>
      </c>
      <c r="J35" s="63">
        <v>0.0165392609007661</v>
      </c>
      <c r="K35" s="66">
        <v>0</v>
      </c>
      <c r="L35" s="64">
        <v>0.0178084588357073</v>
      </c>
      <c r="M35" s="64">
        <v>0.0175444138281828</v>
      </c>
      <c r="N35" s="64">
        <v>0.0228925401615696</v>
      </c>
      <c r="O35" s="67">
        <v>0.0167790072879661</v>
      </c>
      <c r="P35" s="68">
        <v>290.715841546887</v>
      </c>
      <c r="Q35" s="69">
        <v>139.448250635366</v>
      </c>
      <c r="R35" s="70">
        <v>189.186306044428</v>
      </c>
      <c r="S35" s="70">
        <v>193.416228024326</v>
      </c>
      <c r="T35" s="70">
        <v>178.849096859247</v>
      </c>
      <c r="U35" s="71">
        <v>185.617885580482</v>
      </c>
    </row>
    <row r="36" spans="1:21">
      <c r="A36" s="74">
        <v>25</v>
      </c>
      <c r="B36" s="75" t="s">
        <v>37</v>
      </c>
      <c r="C36" s="76" t="s">
        <v>18</v>
      </c>
      <c r="D36" s="77">
        <v>0</v>
      </c>
      <c r="E36" s="78">
        <v>0.0444262359418428</v>
      </c>
      <c r="F36" s="78">
        <v>0.0450484941296578</v>
      </c>
      <c r="G36" s="78">
        <v>0.0359280518634166</v>
      </c>
      <c r="H36" s="78">
        <v>0.0424214120935594</v>
      </c>
      <c r="I36" s="79">
        <v>0.0699088349607672</v>
      </c>
      <c r="J36" s="77">
        <v>0.0151236229871934</v>
      </c>
      <c r="K36" s="80">
        <v>0</v>
      </c>
      <c r="L36" s="78">
        <v>0.0197461041404456</v>
      </c>
      <c r="M36" s="78">
        <v>0.0178744047541814</v>
      </c>
      <c r="N36" s="78">
        <v>0.0201264451335816</v>
      </c>
      <c r="O36" s="81">
        <v>0.0185750755816217</v>
      </c>
      <c r="P36" s="82">
        <v>221.17306488716</v>
      </c>
      <c r="Q36" s="83">
        <v>143.339278324283</v>
      </c>
      <c r="R36" s="84">
        <v>176.81558419944</v>
      </c>
      <c r="S36" s="84">
        <v>199.095374923149</v>
      </c>
      <c r="T36" s="84">
        <v>194.627240141929</v>
      </c>
      <c r="U36" s="85">
        <v>193.712762058183</v>
      </c>
    </row>
    <row r="40" spans="1:21">
      <c r="A40" s="49" t="s">
        <v>0</v>
      </c>
      <c r="B40" s="86" t="s">
        <v>1</v>
      </c>
      <c r="C40" s="87" t="s">
        <v>38</v>
      </c>
      <c r="D40" s="88"/>
      <c r="E40" s="88"/>
      <c r="F40" s="88"/>
      <c r="G40" s="88"/>
      <c r="H40" s="89"/>
    </row>
    <row r="41" spans="1:21">
      <c r="A41" s="54"/>
      <c r="B41" s="90"/>
      <c r="C41" s="59" t="s">
        <v>5</v>
      </c>
      <c r="D41" s="58" t="s">
        <v>6</v>
      </c>
      <c r="E41" s="59" t="s">
        <v>7</v>
      </c>
      <c r="F41" s="59" t="s">
        <v>8</v>
      </c>
      <c r="G41" s="59" t="s">
        <v>9</v>
      </c>
      <c r="H41" s="60" t="s">
        <v>10</v>
      </c>
    </row>
    <row r="42" spans="1:21">
      <c r="A42" s="61">
        <v>6</v>
      </c>
      <c r="B42" s="6" t="s">
        <v>17</v>
      </c>
      <c r="C42" s="91">
        <v>62494.35</v>
      </c>
      <c r="D42" s="69">
        <v>61487.65</v>
      </c>
      <c r="E42" s="91">
        <v>62833</v>
      </c>
      <c r="F42" s="91">
        <v>62807.05</v>
      </c>
      <c r="G42" s="91">
        <v>63140.05</v>
      </c>
      <c r="H42" s="92">
        <v>62767.7</v>
      </c>
    </row>
    <row r="43" spans="1:21">
      <c r="A43" s="61">
        <v>7</v>
      </c>
      <c r="B43" s="6" t="s">
        <v>19</v>
      </c>
      <c r="C43" s="91">
        <v>62513.45</v>
      </c>
      <c r="D43" s="69">
        <v>61489.4</v>
      </c>
      <c r="E43" s="91">
        <v>62833.95</v>
      </c>
      <c r="F43" s="91">
        <v>62810.2</v>
      </c>
      <c r="G43" s="91">
        <v>63132.35</v>
      </c>
      <c r="H43" s="92">
        <v>62812.45</v>
      </c>
    </row>
    <row r="44" spans="1:21">
      <c r="A44" s="61">
        <v>8</v>
      </c>
      <c r="B44" s="6" t="s">
        <v>20</v>
      </c>
      <c r="C44" s="91">
        <v>62513.45</v>
      </c>
      <c r="D44" s="69">
        <v>61501.1</v>
      </c>
      <c r="E44" s="91">
        <v>62834.85</v>
      </c>
      <c r="F44" s="91">
        <v>62809.25</v>
      </c>
      <c r="G44" s="91">
        <v>63133.25</v>
      </c>
      <c r="H44" s="92">
        <v>62775.25</v>
      </c>
    </row>
    <row r="45" spans="1:21">
      <c r="A45" s="61">
        <v>9</v>
      </c>
      <c r="B45" s="6" t="s">
        <v>21</v>
      </c>
      <c r="C45" s="91">
        <v>62752.9</v>
      </c>
      <c r="D45" s="69">
        <v>61724.7</v>
      </c>
      <c r="E45" s="91">
        <v>62831.1</v>
      </c>
      <c r="F45" s="91">
        <v>62812.5</v>
      </c>
      <c r="G45" s="91">
        <v>63125</v>
      </c>
      <c r="H45" s="92">
        <v>62833.6</v>
      </c>
    </row>
    <row r="46" spans="1:21">
      <c r="A46" s="61">
        <v>10</v>
      </c>
      <c r="B46" s="6" t="s">
        <v>22</v>
      </c>
      <c r="C46" s="91">
        <v>62587.65</v>
      </c>
      <c r="D46" s="69">
        <v>61642.9</v>
      </c>
      <c r="E46" s="91">
        <v>62870.6</v>
      </c>
      <c r="F46" s="91">
        <v>62870.65</v>
      </c>
      <c r="G46" s="91">
        <v>62983.9</v>
      </c>
      <c r="H46" s="92">
        <v>62790.75</v>
      </c>
    </row>
    <row r="47" spans="1:21">
      <c r="A47" s="61">
        <v>11</v>
      </c>
      <c r="B47" s="6" t="s">
        <v>23</v>
      </c>
      <c r="C47" s="91">
        <v>62494.35</v>
      </c>
      <c r="D47" s="69">
        <v>61477.95</v>
      </c>
      <c r="E47" s="91">
        <v>62833.25</v>
      </c>
      <c r="F47" s="91">
        <v>62773.8</v>
      </c>
      <c r="G47" s="91">
        <v>63097.7</v>
      </c>
      <c r="H47" s="92">
        <v>62758.25</v>
      </c>
    </row>
    <row r="48" spans="1:21">
      <c r="A48" s="61">
        <v>12</v>
      </c>
      <c r="B48" s="6" t="s">
        <v>24</v>
      </c>
      <c r="C48" s="91">
        <v>62513.45</v>
      </c>
      <c r="D48" s="69">
        <v>61486.4</v>
      </c>
      <c r="E48" s="91">
        <v>62830.55</v>
      </c>
      <c r="F48" s="91">
        <v>62775.85</v>
      </c>
      <c r="G48" s="91">
        <v>63102.55</v>
      </c>
      <c r="H48" s="92">
        <v>62783.1</v>
      </c>
    </row>
    <row r="49" spans="1:8">
      <c r="A49" s="61">
        <v>13</v>
      </c>
      <c r="B49" s="6" t="s">
        <v>25</v>
      </c>
      <c r="C49" s="91">
        <v>62513.45</v>
      </c>
      <c r="D49" s="69">
        <v>61499.3</v>
      </c>
      <c r="E49" s="91">
        <v>62832.35</v>
      </c>
      <c r="F49" s="91">
        <v>62769.4</v>
      </c>
      <c r="G49" s="91">
        <v>63104.15</v>
      </c>
      <c r="H49" s="92">
        <v>62794.45</v>
      </c>
    </row>
    <row r="50" spans="1:8">
      <c r="A50" s="61">
        <v>14</v>
      </c>
      <c r="B50" s="6" t="s">
        <v>26</v>
      </c>
      <c r="C50" s="91">
        <v>62752.9</v>
      </c>
      <c r="D50" s="69">
        <v>61722.35</v>
      </c>
      <c r="E50" s="91">
        <v>62833.2</v>
      </c>
      <c r="F50" s="91">
        <v>62780.1</v>
      </c>
      <c r="G50" s="91">
        <v>63102.1</v>
      </c>
      <c r="H50" s="92">
        <v>62819.45</v>
      </c>
    </row>
    <row r="51" spans="1:8">
      <c r="A51" s="61">
        <v>15</v>
      </c>
      <c r="B51" s="6" t="s">
        <v>27</v>
      </c>
      <c r="C51" s="91">
        <v>62587.65</v>
      </c>
      <c r="D51" s="69">
        <v>61647.85</v>
      </c>
      <c r="E51" s="91">
        <v>62864.4</v>
      </c>
      <c r="F51" s="91">
        <v>62871.8</v>
      </c>
      <c r="G51" s="91">
        <v>62963.3</v>
      </c>
      <c r="H51" s="92">
        <v>62793</v>
      </c>
    </row>
    <row r="52" spans="1:8">
      <c r="A52" s="61">
        <v>16</v>
      </c>
      <c r="B52" s="6" t="s">
        <v>28</v>
      </c>
      <c r="C52" s="91">
        <v>62494.35</v>
      </c>
      <c r="D52" s="69">
        <v>61487.8</v>
      </c>
      <c r="E52" s="91">
        <v>62830.9</v>
      </c>
      <c r="F52" s="91">
        <v>62788.75</v>
      </c>
      <c r="G52" s="91">
        <v>63121.45</v>
      </c>
      <c r="H52" s="92">
        <v>62768.2</v>
      </c>
    </row>
    <row r="53" spans="1:8">
      <c r="A53" s="61">
        <v>17</v>
      </c>
      <c r="B53" s="6" t="s">
        <v>29</v>
      </c>
      <c r="C53" s="91">
        <v>62513.45</v>
      </c>
      <c r="D53" s="69">
        <v>61496.65</v>
      </c>
      <c r="E53" s="91">
        <v>62832</v>
      </c>
      <c r="F53" s="91">
        <v>62790.7</v>
      </c>
      <c r="G53" s="91">
        <v>63124</v>
      </c>
      <c r="H53" s="92">
        <v>62787.25</v>
      </c>
    </row>
    <row r="54" spans="1:8">
      <c r="A54" s="61">
        <v>18</v>
      </c>
      <c r="B54" s="6" t="s">
        <v>30</v>
      </c>
      <c r="C54" s="91">
        <v>62513.45</v>
      </c>
      <c r="D54" s="69">
        <v>61512.2</v>
      </c>
      <c r="E54" s="91">
        <v>62832.1</v>
      </c>
      <c r="F54" s="91">
        <v>62799.8</v>
      </c>
      <c r="G54" s="91">
        <v>63123.25</v>
      </c>
      <c r="H54" s="92">
        <v>62768.9</v>
      </c>
    </row>
    <row r="55" spans="1:8">
      <c r="A55" s="61">
        <v>19</v>
      </c>
      <c r="B55" s="6" t="s">
        <v>31</v>
      </c>
      <c r="C55" s="91">
        <v>62752.9</v>
      </c>
      <c r="D55" s="69">
        <v>61732.65</v>
      </c>
      <c r="E55" s="91">
        <v>62830.45</v>
      </c>
      <c r="F55" s="91">
        <v>62798.6</v>
      </c>
      <c r="G55" s="91">
        <v>63120.1</v>
      </c>
      <c r="H55" s="92">
        <v>62791.55</v>
      </c>
    </row>
    <row r="56" spans="1:8">
      <c r="A56" s="61">
        <v>20</v>
      </c>
      <c r="B56" s="6" t="s">
        <v>32</v>
      </c>
      <c r="C56" s="91">
        <v>62587.65</v>
      </c>
      <c r="D56" s="69">
        <v>61656.2</v>
      </c>
      <c r="E56" s="91">
        <v>62877.45</v>
      </c>
      <c r="F56" s="91">
        <v>62811.55</v>
      </c>
      <c r="G56" s="91">
        <v>62948.05</v>
      </c>
      <c r="H56" s="92">
        <v>62818.55</v>
      </c>
    </row>
    <row r="57" spans="1:8">
      <c r="A57" s="61">
        <v>21</v>
      </c>
      <c r="B57" s="6" t="s">
        <v>33</v>
      </c>
      <c r="C57" s="91">
        <v>62494.35</v>
      </c>
      <c r="D57" s="69">
        <v>61483.5</v>
      </c>
      <c r="E57" s="91">
        <v>62831.65</v>
      </c>
      <c r="F57" s="91">
        <v>62805.8</v>
      </c>
      <c r="G57" s="91">
        <v>63140.15</v>
      </c>
      <c r="H57" s="92">
        <v>62878.45</v>
      </c>
    </row>
    <row r="58" spans="1:8">
      <c r="A58" s="61">
        <v>22</v>
      </c>
      <c r="B58" s="6" t="s">
        <v>34</v>
      </c>
      <c r="C58" s="91">
        <v>62513.45</v>
      </c>
      <c r="D58" s="69">
        <v>61490</v>
      </c>
      <c r="E58" s="91">
        <v>62831</v>
      </c>
      <c r="F58" s="91">
        <v>62822.3</v>
      </c>
      <c r="G58" s="91">
        <v>63151.5</v>
      </c>
      <c r="H58" s="92">
        <v>62771.6</v>
      </c>
    </row>
    <row r="59" spans="1:8">
      <c r="A59" s="61">
        <v>23</v>
      </c>
      <c r="B59" s="6" t="s">
        <v>35</v>
      </c>
      <c r="C59" s="91">
        <v>62513.45</v>
      </c>
      <c r="D59" s="69">
        <v>61504.75</v>
      </c>
      <c r="E59" s="91">
        <v>62830.95</v>
      </c>
      <c r="F59" s="91">
        <v>62814.45</v>
      </c>
      <c r="G59" s="91">
        <v>63146.05</v>
      </c>
      <c r="H59" s="92">
        <v>62751.55</v>
      </c>
    </row>
    <row r="60" spans="1:8">
      <c r="A60" s="61">
        <v>24</v>
      </c>
      <c r="B60" s="6" t="s">
        <v>36</v>
      </c>
      <c r="C60" s="91">
        <v>62752.9</v>
      </c>
      <c r="D60" s="69">
        <v>61731.9</v>
      </c>
      <c r="E60" s="91">
        <v>62831.25</v>
      </c>
      <c r="F60" s="91">
        <v>62814.95</v>
      </c>
      <c r="G60" s="91">
        <v>63145.1</v>
      </c>
      <c r="H60" s="92">
        <v>62767.7</v>
      </c>
    </row>
    <row r="61" spans="1:8">
      <c r="A61" s="74">
        <v>25</v>
      </c>
      <c r="B61" s="75" t="s">
        <v>37</v>
      </c>
      <c r="C61" s="93">
        <v>62587.65</v>
      </c>
      <c r="D61" s="83">
        <v>61655.2</v>
      </c>
      <c r="E61" s="93">
        <v>62872.65</v>
      </c>
      <c r="F61" s="93">
        <v>62757.25</v>
      </c>
      <c r="G61" s="93">
        <v>62896.1</v>
      </c>
      <c r="H61" s="94">
        <v>62800.45</v>
      </c>
    </row>
  </sheetData>
  <sheetProtection formatCells="0" formatColumns="0" formatRows="0" insertRows="0" insertColumns="0" insertHyperlinks="0" deleteColumns="0" deleteRows="0" sort="0" autoFilter="0" pivotTables="0"/>
  <mergeCells count="14">
    <mergeCell ref="D1:H1"/>
    <mergeCell ref="J1:N1"/>
    <mergeCell ref="D15:I15"/>
    <mergeCell ref="J15:O15"/>
    <mergeCell ref="P15:U15"/>
    <mergeCell ref="C40:H40"/>
    <mergeCell ref="A1:A2"/>
    <mergeCell ref="A15:A16"/>
    <mergeCell ref="A40:A41"/>
    <mergeCell ref="B1:B2"/>
    <mergeCell ref="B15:B16"/>
    <mergeCell ref="B40:B41"/>
    <mergeCell ref="C1:C2"/>
    <mergeCell ref="C15:C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tabSelected="1" zoomScale="115" zoomScaleNormal="115" topLeftCell="I18" workbookViewId="0">
      <selection activeCell="J17" sqref="J17:O36"/>
    </sheetView>
  </sheetViews>
  <sheetFormatPr defaultColWidth="9" defaultRowHeight="15"/>
  <cols>
    <col min="1" max="1" width="5" customWidth="1"/>
    <col min="2" max="2" width="25.2190476190476" customWidth="1"/>
    <col min="3" max="3" width="13.6666666666667" customWidth="1"/>
    <col min="4" max="4" width="17" customWidth="1"/>
    <col min="5" max="5" width="13.6666666666667" style="1" customWidth="1"/>
    <col min="6" max="6" width="17.3333333333333" customWidth="1"/>
    <col min="7" max="7" width="15.7809523809524" customWidth="1"/>
    <col min="8" max="8" width="16.6666666666667" customWidth="1"/>
    <col min="9" max="9" width="14.552380952381" customWidth="1"/>
    <col min="10" max="10" width="14.8857142857143" customWidth="1"/>
    <col min="11" max="11" width="13.3333333333333" customWidth="1"/>
    <col min="12" max="12" width="14.2190476190476" customWidth="1"/>
    <col min="13" max="13" width="14.552380952381" customWidth="1"/>
    <col min="14" max="14" width="15.3333333333333" customWidth="1"/>
    <col min="15" max="15" width="13.7809523809524" customWidth="1"/>
    <col min="16" max="16" width="14.6666666666667" customWidth="1"/>
    <col min="17" max="17" width="11.552380952381" customWidth="1"/>
    <col min="18" max="18" width="14.3333333333333" customWidth="1"/>
    <col min="19" max="19" width="12.7809523809524" customWidth="1"/>
    <col min="20" max="20" width="13.6666666666667" customWidth="1"/>
    <col min="21" max="21" width="14.552380952381" customWidth="1"/>
    <col min="22" max="22" width="12.552380952381" customWidth="1"/>
    <col min="23" max="23" width="11.552380952381" customWidth="1"/>
    <col min="24" max="24" width="11.8857142857143" customWidth="1"/>
    <col min="25" max="25" width="12.1047619047619" customWidth="1"/>
  </cols>
  <sheetData>
    <row r="1" spans="1:28">
      <c r="A1" t="s">
        <v>0</v>
      </c>
      <c r="B1" t="s">
        <v>1</v>
      </c>
      <c r="C1" t="s">
        <v>2</v>
      </c>
      <c r="D1" s="6" t="s">
        <v>39</v>
      </c>
      <c r="E1" s="7" t="s">
        <v>40</v>
      </c>
      <c r="F1" s="8" t="s">
        <v>41</v>
      </c>
      <c r="G1" s="8" t="s">
        <v>42</v>
      </c>
      <c r="H1" s="8" t="s">
        <v>43</v>
      </c>
      <c r="I1" s="9" t="s">
        <v>44</v>
      </c>
      <c r="J1" s="8" t="s">
        <v>45</v>
      </c>
      <c r="K1" s="8" t="s">
        <v>46</v>
      </c>
      <c r="L1" s="8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s="2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</row>
    <row r="2" spans="1:28">
      <c r="A2" t="s">
        <v>64</v>
      </c>
      <c r="B2" t="s">
        <v>65</v>
      </c>
      <c r="C2" t="s">
        <v>6</v>
      </c>
      <c r="D2" s="10">
        <v>62114.15</v>
      </c>
      <c r="E2" s="11">
        <f>(F2-D2)/D2</f>
        <v>0.247106335673916</v>
      </c>
      <c r="F2" s="12">
        <v>77462.95</v>
      </c>
      <c r="G2" s="12">
        <v>139.271591919492</v>
      </c>
      <c r="H2" s="12">
        <v>77462.95</v>
      </c>
      <c r="I2" s="11">
        <f t="shared" ref="I2:I26" si="0">(J2-D2)/D2</f>
        <v>0</v>
      </c>
      <c r="J2" s="12">
        <v>62114.15</v>
      </c>
      <c r="K2" s="12">
        <v>145.930507975182</v>
      </c>
      <c r="L2" s="12">
        <v>62114.15</v>
      </c>
      <c r="M2" s="13">
        <f t="shared" ref="M2:M26" si="1">(N2-D2)/D2</f>
        <v>0.0115279690698496</v>
      </c>
      <c r="N2" s="14">
        <v>62830.2</v>
      </c>
      <c r="O2" s="14">
        <v>159.539336842047</v>
      </c>
      <c r="P2" s="14">
        <v>62830.2</v>
      </c>
      <c r="Q2" s="13">
        <f t="shared" ref="Q2:Q26" si="2">(R2-D2)/D2</f>
        <v>0.0115875368172953</v>
      </c>
      <c r="R2" s="14">
        <v>62833.9</v>
      </c>
      <c r="S2" s="14">
        <v>156.642368403147</v>
      </c>
      <c r="T2" s="14">
        <v>62833.9</v>
      </c>
      <c r="U2" s="13">
        <f t="shared" ref="U2:U26" si="3">(V2-D2)/D2</f>
        <v>0.0166387208067727</v>
      </c>
      <c r="V2" s="14">
        <v>63147.65</v>
      </c>
      <c r="W2" s="14">
        <v>156.93085134945</v>
      </c>
      <c r="X2" s="14">
        <v>63147.65</v>
      </c>
      <c r="Y2" s="13">
        <f t="shared" ref="Y2:Y26" si="4">(Z2-D2)/D2</f>
        <v>0.0115126746482082</v>
      </c>
      <c r="Z2" s="14">
        <v>62829.25</v>
      </c>
      <c r="AA2" s="14">
        <v>155.473089565196</v>
      </c>
      <c r="AB2" s="14">
        <v>62829.25</v>
      </c>
    </row>
    <row r="3" spans="1:28">
      <c r="A3" t="s">
        <v>66</v>
      </c>
      <c r="B3" t="s">
        <v>67</v>
      </c>
      <c r="C3" t="s">
        <v>6</v>
      </c>
      <c r="D3" s="10">
        <v>62118.55</v>
      </c>
      <c r="E3" s="11">
        <f t="shared" ref="E3:E26" si="5">(F3-D3)/D3</f>
        <v>0.247937210382406</v>
      </c>
      <c r="F3" s="12">
        <v>77520.05</v>
      </c>
      <c r="G3" s="12">
        <v>244.375568380009</v>
      </c>
      <c r="H3" s="12">
        <v>77520.05</v>
      </c>
      <c r="I3" s="11">
        <f t="shared" si="0"/>
        <v>0</v>
      </c>
      <c r="J3" s="12">
        <v>62118.55</v>
      </c>
      <c r="K3" s="12">
        <v>145.938514450436</v>
      </c>
      <c r="L3" s="12">
        <v>62118.55</v>
      </c>
      <c r="M3" s="13">
        <f t="shared" si="1"/>
        <v>0.0115013953158919</v>
      </c>
      <c r="N3" s="14">
        <v>62833</v>
      </c>
      <c r="O3" s="14">
        <v>157.552330487699</v>
      </c>
      <c r="P3" s="14">
        <v>62833</v>
      </c>
      <c r="Q3" s="13">
        <f t="shared" si="2"/>
        <v>0.011533591817581</v>
      </c>
      <c r="R3" s="14">
        <v>62835</v>
      </c>
      <c r="S3" s="14">
        <v>161.402732644968</v>
      </c>
      <c r="T3" s="14">
        <v>62835</v>
      </c>
      <c r="U3" s="13">
        <f t="shared" si="3"/>
        <v>0.0165514166058286</v>
      </c>
      <c r="V3" s="14">
        <v>63146.7</v>
      </c>
      <c r="W3" s="14">
        <v>155.409848634607</v>
      </c>
      <c r="X3" s="14">
        <v>63146.7</v>
      </c>
      <c r="Y3" s="13">
        <f t="shared" si="4"/>
        <v>0.011526347604701</v>
      </c>
      <c r="Z3" s="14">
        <v>62834.55</v>
      </c>
      <c r="AA3" s="14">
        <v>160.581336989931</v>
      </c>
      <c r="AB3" s="14">
        <v>62834.55</v>
      </c>
    </row>
    <row r="4" spans="1:28">
      <c r="A4" t="s">
        <v>68</v>
      </c>
      <c r="B4" t="s">
        <v>69</v>
      </c>
      <c r="C4" t="s">
        <v>6</v>
      </c>
      <c r="D4" s="10">
        <v>62090.4</v>
      </c>
      <c r="E4" s="11">
        <f t="shared" si="5"/>
        <v>0.248572243052066</v>
      </c>
      <c r="F4" s="12">
        <v>77524.35</v>
      </c>
      <c r="G4" s="12">
        <v>193.556812005375</v>
      </c>
      <c r="H4" s="12">
        <v>77524.35</v>
      </c>
      <c r="I4" s="11">
        <f t="shared" si="0"/>
        <v>0</v>
      </c>
      <c r="J4" s="12">
        <v>62090.4</v>
      </c>
      <c r="K4" s="12">
        <v>121.811934425249</v>
      </c>
      <c r="L4" s="12">
        <v>62090.4</v>
      </c>
      <c r="M4" s="13">
        <f t="shared" si="1"/>
        <v>0.0118947534562508</v>
      </c>
      <c r="N4" s="14">
        <v>62828.95</v>
      </c>
      <c r="O4" s="14">
        <v>153.515120119365</v>
      </c>
      <c r="P4" s="14">
        <v>62828.95</v>
      </c>
      <c r="Q4" s="13">
        <f t="shared" si="2"/>
        <v>0.011926964554907</v>
      </c>
      <c r="R4" s="14">
        <v>62830.95</v>
      </c>
      <c r="S4" s="14">
        <v>156.278588963495</v>
      </c>
      <c r="T4" s="14">
        <v>62830.95</v>
      </c>
      <c r="U4" s="13">
        <f t="shared" si="3"/>
        <v>0.0169865228763222</v>
      </c>
      <c r="V4" s="14">
        <v>63145.1</v>
      </c>
      <c r="W4" s="14">
        <v>161.145863967041</v>
      </c>
      <c r="X4" s="14">
        <v>63145.1</v>
      </c>
      <c r="Y4" s="13">
        <f t="shared" si="4"/>
        <v>0.0105402767577596</v>
      </c>
      <c r="Z4" s="14">
        <v>62744.85</v>
      </c>
      <c r="AA4" s="14">
        <v>160.979657099896</v>
      </c>
      <c r="AB4" s="14">
        <v>62744.85</v>
      </c>
    </row>
    <row r="5" spans="1:28">
      <c r="A5" t="s">
        <v>70</v>
      </c>
      <c r="B5" t="s">
        <v>71</v>
      </c>
      <c r="C5" t="s">
        <v>6</v>
      </c>
      <c r="D5" s="10">
        <v>62105.75</v>
      </c>
      <c r="E5" s="11">
        <f t="shared" si="5"/>
        <v>0.249056649344062</v>
      </c>
      <c r="F5" s="12">
        <v>77573.6</v>
      </c>
      <c r="G5" s="12">
        <v>151.779063808308</v>
      </c>
      <c r="H5" s="12">
        <v>77573.6</v>
      </c>
      <c r="I5" s="11">
        <f t="shared" si="0"/>
        <v>0</v>
      </c>
      <c r="J5" s="12">
        <v>62105.75</v>
      </c>
      <c r="K5" s="12">
        <v>139.871698728739</v>
      </c>
      <c r="L5" s="12">
        <v>62105.75</v>
      </c>
      <c r="M5" s="13">
        <f t="shared" si="1"/>
        <v>0.0117428740495043</v>
      </c>
      <c r="N5" s="14">
        <v>62835.05</v>
      </c>
      <c r="O5" s="14">
        <v>158.290364437271</v>
      </c>
      <c r="P5" s="14">
        <v>62835.05</v>
      </c>
      <c r="Q5" s="13">
        <f t="shared" si="2"/>
        <v>0.0116615611275929</v>
      </c>
      <c r="R5" s="14">
        <v>62830</v>
      </c>
      <c r="S5" s="14">
        <v>159.202618333401</v>
      </c>
      <c r="T5" s="14">
        <v>62830</v>
      </c>
      <c r="U5" s="13">
        <f t="shared" si="3"/>
        <v>0.0167866904433165</v>
      </c>
      <c r="V5" s="14">
        <v>63148.3</v>
      </c>
      <c r="W5" s="14">
        <v>144.298703353404</v>
      </c>
      <c r="X5" s="14">
        <v>63148.3</v>
      </c>
      <c r="Y5" s="13">
        <f t="shared" si="4"/>
        <v>0.0116776626962882</v>
      </c>
      <c r="Z5" s="14">
        <v>62831</v>
      </c>
      <c r="AA5" s="14">
        <v>159.31861489679</v>
      </c>
      <c r="AB5" s="14">
        <v>62831</v>
      </c>
    </row>
    <row r="6" spans="1:28">
      <c r="A6" t="s">
        <v>72</v>
      </c>
      <c r="B6" t="s">
        <v>73</v>
      </c>
      <c r="C6" t="s">
        <v>6</v>
      </c>
      <c r="D6" s="10">
        <v>62163.3</v>
      </c>
      <c r="E6" s="11">
        <f t="shared" si="5"/>
        <v>0.206921125487225</v>
      </c>
      <c r="F6" s="12">
        <v>75026.2</v>
      </c>
      <c r="G6" s="12">
        <v>163.273938359337</v>
      </c>
      <c r="H6" s="12">
        <v>75026.2</v>
      </c>
      <c r="I6" s="11">
        <f t="shared" si="0"/>
        <v>0</v>
      </c>
      <c r="J6" s="12">
        <v>62163.3</v>
      </c>
      <c r="K6" s="12">
        <v>145.367447307993</v>
      </c>
      <c r="L6" s="12">
        <v>62163.3</v>
      </c>
      <c r="M6" s="13">
        <f t="shared" si="1"/>
        <v>0.0114512903915976</v>
      </c>
      <c r="N6" s="14">
        <v>62875.15</v>
      </c>
      <c r="O6" s="14">
        <v>137.554305065691</v>
      </c>
      <c r="P6" s="14">
        <v>62875.15</v>
      </c>
      <c r="Q6" s="13">
        <f t="shared" si="2"/>
        <v>0.0113764874129912</v>
      </c>
      <c r="R6" s="14">
        <v>62870.5</v>
      </c>
      <c r="S6" s="14">
        <v>137.779572238833</v>
      </c>
      <c r="T6" s="14">
        <v>62870.5</v>
      </c>
      <c r="U6" s="13">
        <f t="shared" si="3"/>
        <v>0.0135095788029271</v>
      </c>
      <c r="V6" s="14">
        <v>63003.1</v>
      </c>
      <c r="W6" s="14">
        <v>141.117681386848</v>
      </c>
      <c r="X6" s="14">
        <v>63003.1</v>
      </c>
      <c r="Y6" s="13">
        <f t="shared" si="4"/>
        <v>0.00979999453053485</v>
      </c>
      <c r="Z6" s="14">
        <v>62772.5</v>
      </c>
      <c r="AA6" s="14">
        <v>156.728897681382</v>
      </c>
      <c r="AB6" s="14">
        <v>62772.5</v>
      </c>
    </row>
    <row r="7" spans="1:28">
      <c r="A7" t="s">
        <v>74</v>
      </c>
      <c r="B7" t="s">
        <v>75</v>
      </c>
      <c r="C7" s="2" t="s">
        <v>18</v>
      </c>
      <c r="D7" s="10">
        <v>62494.35</v>
      </c>
      <c r="E7" s="11">
        <v>0</v>
      </c>
      <c r="F7" s="12">
        <v>62494.35</v>
      </c>
      <c r="G7" s="12">
        <v>169.305477574832</v>
      </c>
      <c r="H7" s="12">
        <v>62494.35</v>
      </c>
      <c r="I7" s="11">
        <f t="shared" si="0"/>
        <v>0.00338948240920977</v>
      </c>
      <c r="J7" s="12">
        <v>62706.1735</v>
      </c>
      <c r="K7" s="12">
        <v>86.1756789034677</v>
      </c>
      <c r="L7" s="12">
        <v>61487.65</v>
      </c>
      <c r="M7" s="13">
        <f t="shared" si="1"/>
        <v>0.0255292918479831</v>
      </c>
      <c r="N7" s="14">
        <v>64089.7865</v>
      </c>
      <c r="O7" s="14">
        <v>162.505397295792</v>
      </c>
      <c r="P7" s="14">
        <v>62833</v>
      </c>
      <c r="Q7" s="13">
        <f t="shared" si="2"/>
        <v>0.0249107479316131</v>
      </c>
      <c r="R7" s="14">
        <v>64051.131</v>
      </c>
      <c r="S7" s="14">
        <v>151.238235241446</v>
      </c>
      <c r="T7" s="14">
        <v>62807.05</v>
      </c>
      <c r="U7" s="13">
        <f t="shared" si="3"/>
        <v>0.0303606326011872</v>
      </c>
      <c r="V7" s="14">
        <v>64391.718</v>
      </c>
      <c r="W7" s="14">
        <v>135.303637349483</v>
      </c>
      <c r="X7" s="14">
        <v>63140.05</v>
      </c>
      <c r="Y7" s="13">
        <f t="shared" si="4"/>
        <v>0.0238524202587914</v>
      </c>
      <c r="Z7" s="14">
        <v>63984.9915</v>
      </c>
      <c r="AA7" s="14">
        <v>151.487132310063</v>
      </c>
      <c r="AB7" s="14">
        <v>62767.7</v>
      </c>
    </row>
    <row r="8" spans="1:28">
      <c r="A8" t="s">
        <v>76</v>
      </c>
      <c r="B8" t="s">
        <v>77</v>
      </c>
      <c r="C8" s="2" t="s">
        <v>6</v>
      </c>
      <c r="D8" s="10">
        <v>62707.857</v>
      </c>
      <c r="E8" s="11">
        <f t="shared" si="5"/>
        <v>0.00176605461098754</v>
      </c>
      <c r="F8" s="12">
        <v>62818.6025</v>
      </c>
      <c r="G8" s="12">
        <v>167.895480766582</v>
      </c>
      <c r="H8" s="12">
        <v>62513.45</v>
      </c>
      <c r="I8" s="11">
        <f t="shared" si="0"/>
        <v>0</v>
      </c>
      <c r="J8" s="12">
        <v>62707.857</v>
      </c>
      <c r="K8" s="12">
        <v>91.8091028109267</v>
      </c>
      <c r="L8" s="12">
        <v>61489.4</v>
      </c>
      <c r="M8" s="13">
        <f t="shared" si="1"/>
        <v>0.022048823961565</v>
      </c>
      <c r="N8" s="14">
        <v>64090.4915</v>
      </c>
      <c r="O8" s="14">
        <v>159.876074253417</v>
      </c>
      <c r="P8" s="14">
        <v>62833.95</v>
      </c>
      <c r="Q8" s="13">
        <f t="shared" si="2"/>
        <v>0.0214762561571829</v>
      </c>
      <c r="R8" s="14">
        <v>64054.587</v>
      </c>
      <c r="S8" s="14">
        <v>160.246403263686</v>
      </c>
      <c r="T8" s="14">
        <v>62810.2</v>
      </c>
      <c r="U8" s="13">
        <f t="shared" si="3"/>
        <v>0.0267284209696401</v>
      </c>
      <c r="V8" s="14">
        <v>64383.939</v>
      </c>
      <c r="W8" s="14">
        <v>137.704228651197</v>
      </c>
      <c r="X8" s="14">
        <v>63132.35</v>
      </c>
      <c r="Y8" s="13">
        <f t="shared" si="4"/>
        <v>0.0215428905503819</v>
      </c>
      <c r="Z8" s="14">
        <v>64058.7655</v>
      </c>
      <c r="AA8" s="14">
        <v>154.315403449696</v>
      </c>
      <c r="AB8" s="14">
        <v>62812.45</v>
      </c>
    </row>
    <row r="9" spans="1:28">
      <c r="A9" t="s">
        <v>78</v>
      </c>
      <c r="B9" t="s">
        <v>79</v>
      </c>
      <c r="C9" s="2" t="s">
        <v>6</v>
      </c>
      <c r="D9" s="10">
        <v>62772</v>
      </c>
      <c r="E9" s="11">
        <f t="shared" si="5"/>
        <v>0.000742409035875882</v>
      </c>
      <c r="F9" s="12">
        <v>62818.6025</v>
      </c>
      <c r="G9" s="12">
        <v>167.895480766582</v>
      </c>
      <c r="H9" s="12">
        <v>62513.45</v>
      </c>
      <c r="I9" s="11">
        <f t="shared" si="0"/>
        <v>-3.4728860001395e-6</v>
      </c>
      <c r="J9" s="12">
        <v>62771.782</v>
      </c>
      <c r="K9" s="12">
        <v>84.7644698158243</v>
      </c>
      <c r="L9" s="12">
        <v>61501.1</v>
      </c>
      <c r="M9" s="13">
        <f t="shared" si="1"/>
        <v>0.0210206620786338</v>
      </c>
      <c r="N9" s="14">
        <v>64091.509</v>
      </c>
      <c r="O9" s="14">
        <v>157.824544849152</v>
      </c>
      <c r="P9" s="14">
        <v>62834.85</v>
      </c>
      <c r="Q9" s="13">
        <f t="shared" si="2"/>
        <v>0.0204119352577583</v>
      </c>
      <c r="R9" s="14">
        <v>64053.298</v>
      </c>
      <c r="S9" s="14">
        <v>160.641055465448</v>
      </c>
      <c r="T9" s="14">
        <v>62809.25</v>
      </c>
      <c r="U9" s="13">
        <f t="shared" si="3"/>
        <v>0.0256927451730071</v>
      </c>
      <c r="V9" s="14">
        <v>64384.785</v>
      </c>
      <c r="W9" s="14">
        <v>139.918641265859</v>
      </c>
      <c r="X9" s="14">
        <v>63133.25</v>
      </c>
      <c r="Y9" s="13">
        <f t="shared" si="4"/>
        <v>0.0214974988848531</v>
      </c>
      <c r="Z9" s="14">
        <v>64121.441</v>
      </c>
      <c r="AA9" s="14">
        <v>158.386240394538</v>
      </c>
      <c r="AB9" s="14">
        <v>62775.25</v>
      </c>
    </row>
    <row r="10" spans="1:28">
      <c r="A10" t="s">
        <v>80</v>
      </c>
      <c r="B10" t="s">
        <v>81</v>
      </c>
      <c r="C10" t="s">
        <v>6</v>
      </c>
      <c r="D10" s="10">
        <v>62947.5895</v>
      </c>
      <c r="E10" s="11">
        <f t="shared" si="5"/>
        <v>0.00871432098285511</v>
      </c>
      <c r="F10" s="12">
        <v>63496.135</v>
      </c>
      <c r="G10" s="12">
        <v>230.429907952392</v>
      </c>
      <c r="H10" s="12">
        <v>62752.9</v>
      </c>
      <c r="I10" s="11">
        <f t="shared" si="0"/>
        <v>0</v>
      </c>
      <c r="J10" s="12">
        <v>62947.5895</v>
      </c>
      <c r="K10" s="12">
        <v>123.124703087005</v>
      </c>
      <c r="L10" s="12">
        <v>61724.7</v>
      </c>
      <c r="M10" s="13">
        <f t="shared" si="1"/>
        <v>0.0181141646416817</v>
      </c>
      <c r="N10" s="14">
        <v>64087.8325</v>
      </c>
      <c r="O10" s="14">
        <v>159.711094393496</v>
      </c>
      <c r="P10" s="14">
        <v>62831.1</v>
      </c>
      <c r="Q10" s="13">
        <f t="shared" si="2"/>
        <v>0.0176203490683308</v>
      </c>
      <c r="R10" s="14">
        <v>64056.748</v>
      </c>
      <c r="S10" s="14">
        <v>154.690856042489</v>
      </c>
      <c r="T10" s="14">
        <v>62812.5</v>
      </c>
      <c r="U10" s="13">
        <f t="shared" si="3"/>
        <v>0.0227003688520908</v>
      </c>
      <c r="V10" s="14">
        <v>64376.523</v>
      </c>
      <c r="W10" s="14">
        <v>138.853147912689</v>
      </c>
      <c r="X10" s="14">
        <v>63125</v>
      </c>
      <c r="Y10" s="13">
        <f t="shared" si="4"/>
        <v>0.0180988344279648</v>
      </c>
      <c r="Z10" s="14">
        <v>64086.8675</v>
      </c>
      <c r="AA10" s="14">
        <v>161.018908202374</v>
      </c>
      <c r="AB10" s="14">
        <v>62833.6</v>
      </c>
    </row>
    <row r="11" spans="1:28">
      <c r="A11" t="s">
        <v>82</v>
      </c>
      <c r="B11" t="s">
        <v>83</v>
      </c>
      <c r="C11" t="s">
        <v>6</v>
      </c>
      <c r="D11" s="10">
        <v>63035.3195</v>
      </c>
      <c r="E11" s="11">
        <f t="shared" si="5"/>
        <v>0.00840975351921551</v>
      </c>
      <c r="F11" s="12">
        <v>63565.431</v>
      </c>
      <c r="G11" s="12">
        <v>175.244944484479</v>
      </c>
      <c r="H11" s="12">
        <v>62587.65</v>
      </c>
      <c r="I11" s="11">
        <f t="shared" si="0"/>
        <v>0</v>
      </c>
      <c r="J11" s="12">
        <v>63035.3195</v>
      </c>
      <c r="K11" s="12">
        <v>108.02948600778</v>
      </c>
      <c r="L11" s="12">
        <v>61642.9</v>
      </c>
      <c r="M11" s="13">
        <f t="shared" si="1"/>
        <v>0.0176181624652509</v>
      </c>
      <c r="N11" s="14">
        <v>64145.886</v>
      </c>
      <c r="O11" s="14">
        <v>142.181865465918</v>
      </c>
      <c r="P11" s="14">
        <v>62870.6</v>
      </c>
      <c r="Q11" s="13">
        <f t="shared" si="2"/>
        <v>0.017509723259196</v>
      </c>
      <c r="R11" s="14">
        <v>64139.0505</v>
      </c>
      <c r="S11" s="14">
        <v>154.000147316233</v>
      </c>
      <c r="T11" s="14">
        <v>62870.65</v>
      </c>
      <c r="U11" s="13">
        <f t="shared" si="3"/>
        <v>0.0192264195630832</v>
      </c>
      <c r="V11" s="14">
        <v>64247.263</v>
      </c>
      <c r="W11" s="14">
        <v>158.230899806845</v>
      </c>
      <c r="X11" s="14">
        <v>62983.9</v>
      </c>
      <c r="Y11" s="13">
        <f t="shared" si="4"/>
        <v>0.0197041834617813</v>
      </c>
      <c r="Z11" s="14">
        <v>64277.379</v>
      </c>
      <c r="AA11" s="14">
        <v>170.86800291453</v>
      </c>
      <c r="AB11" s="14">
        <v>62790.75</v>
      </c>
    </row>
    <row r="12" spans="1:28">
      <c r="A12" t="s">
        <v>84</v>
      </c>
      <c r="B12" t="s">
        <v>85</v>
      </c>
      <c r="C12" s="2" t="s">
        <v>18</v>
      </c>
      <c r="D12" s="10">
        <v>62494.35</v>
      </c>
      <c r="E12" s="11">
        <f t="shared" si="5"/>
        <v>0</v>
      </c>
      <c r="F12" s="12">
        <v>62494.35</v>
      </c>
      <c r="G12" s="12">
        <v>169.305477574832</v>
      </c>
      <c r="H12" s="12">
        <v>62494.35</v>
      </c>
      <c r="I12" s="11">
        <f t="shared" si="0"/>
        <v>0.0227296547607904</v>
      </c>
      <c r="J12" s="12">
        <v>63914.825</v>
      </c>
      <c r="K12" s="12">
        <v>85.0410882425308</v>
      </c>
      <c r="L12" s="12">
        <v>61477.95</v>
      </c>
      <c r="M12" s="13">
        <f t="shared" si="1"/>
        <v>0.0456368935751792</v>
      </c>
      <c r="N12" s="14">
        <v>65346.398</v>
      </c>
      <c r="O12" s="14">
        <v>165.693757326103</v>
      </c>
      <c r="P12" s="14">
        <v>62833.25</v>
      </c>
      <c r="Q12" s="13">
        <f t="shared" si="2"/>
        <v>0.0439098734525601</v>
      </c>
      <c r="R12" s="14">
        <v>65238.469</v>
      </c>
      <c r="S12" s="14">
        <v>152.91197859863</v>
      </c>
      <c r="T12" s="14">
        <v>62773.8</v>
      </c>
      <c r="U12" s="13">
        <f t="shared" si="3"/>
        <v>0.0493401083457944</v>
      </c>
      <c r="V12" s="14">
        <v>65577.828</v>
      </c>
      <c r="W12" s="14">
        <v>148.34276643532</v>
      </c>
      <c r="X12" s="14">
        <v>63097.7</v>
      </c>
      <c r="Y12" s="13">
        <f t="shared" si="4"/>
        <v>0.0419872676489955</v>
      </c>
      <c r="Z12" s="14">
        <v>65118.317</v>
      </c>
      <c r="AA12" s="14">
        <v>151.168974020186</v>
      </c>
      <c r="AB12" s="14">
        <v>62758.25</v>
      </c>
    </row>
    <row r="13" spans="1:28">
      <c r="A13" t="s">
        <v>86</v>
      </c>
      <c r="B13" t="s">
        <v>87</v>
      </c>
      <c r="C13" s="2" t="s">
        <v>18</v>
      </c>
      <c r="D13" s="10">
        <v>63123.755</v>
      </c>
      <c r="E13" s="11">
        <f t="shared" si="5"/>
        <v>0</v>
      </c>
      <c r="F13" s="12">
        <v>63123.755</v>
      </c>
      <c r="G13" s="12">
        <v>169.557303944869</v>
      </c>
      <c r="H13" s="12">
        <v>62513.45</v>
      </c>
      <c r="I13" s="11">
        <f t="shared" si="0"/>
        <v>0.0126730420267299</v>
      </c>
      <c r="J13" s="12">
        <v>63923.725</v>
      </c>
      <c r="K13" s="12">
        <v>89.192741945685</v>
      </c>
      <c r="L13" s="12">
        <v>61486.4</v>
      </c>
      <c r="M13" s="13">
        <f t="shared" si="1"/>
        <v>0.0351646380986049</v>
      </c>
      <c r="N13" s="14">
        <v>65343.479</v>
      </c>
      <c r="O13" s="14">
        <v>161.4101112694</v>
      </c>
      <c r="P13" s="14">
        <v>62830.55</v>
      </c>
      <c r="Q13" s="13">
        <f t="shared" si="2"/>
        <v>0.0335304197286743</v>
      </c>
      <c r="R13" s="14">
        <v>65240.321</v>
      </c>
      <c r="S13" s="14">
        <v>155.942472047933</v>
      </c>
      <c r="T13" s="14">
        <v>62775.85</v>
      </c>
      <c r="U13" s="13">
        <f t="shared" si="3"/>
        <v>0.0389572990390068</v>
      </c>
      <c r="V13" s="14">
        <v>65582.886</v>
      </c>
      <c r="W13" s="14">
        <v>144.087456059451</v>
      </c>
      <c r="X13" s="14">
        <v>63102.55</v>
      </c>
      <c r="Y13" s="13">
        <f t="shared" si="4"/>
        <v>0.0337692838456774</v>
      </c>
      <c r="Z13" s="14">
        <v>65255.399</v>
      </c>
      <c r="AA13" s="14">
        <v>162.436289240136</v>
      </c>
      <c r="AB13" s="14">
        <v>62783.1</v>
      </c>
    </row>
    <row r="14" spans="1:28">
      <c r="A14" t="s">
        <v>88</v>
      </c>
      <c r="B14" t="s">
        <v>89</v>
      </c>
      <c r="C14" s="2" t="s">
        <v>18</v>
      </c>
      <c r="D14" s="10">
        <v>63123.755</v>
      </c>
      <c r="E14" s="11">
        <f t="shared" si="5"/>
        <v>0</v>
      </c>
      <c r="F14" s="12">
        <v>63123.755</v>
      </c>
      <c r="G14" s="12">
        <v>169.557303944869</v>
      </c>
      <c r="H14" s="12">
        <v>62513.45</v>
      </c>
      <c r="I14" s="11">
        <f t="shared" si="0"/>
        <v>0.0145228052418619</v>
      </c>
      <c r="J14" s="12">
        <v>64040.489</v>
      </c>
      <c r="K14" s="12">
        <v>85.6811409514191</v>
      </c>
      <c r="L14" s="12">
        <v>61499.3</v>
      </c>
      <c r="M14" s="13">
        <f t="shared" si="1"/>
        <v>0.0351974783502662</v>
      </c>
      <c r="N14" s="14">
        <v>65345.552</v>
      </c>
      <c r="O14" s="14">
        <v>160.266560375946</v>
      </c>
      <c r="P14" s="14">
        <v>62832.35</v>
      </c>
      <c r="Q14" s="13">
        <f t="shared" si="2"/>
        <v>0.0334243265471138</v>
      </c>
      <c r="R14" s="14">
        <v>65233.624</v>
      </c>
      <c r="S14" s="14">
        <v>150.296579307645</v>
      </c>
      <c r="T14" s="14">
        <v>62769.4</v>
      </c>
      <c r="U14" s="13">
        <f t="shared" si="3"/>
        <v>0.0389809668325341</v>
      </c>
      <c r="V14" s="14">
        <v>65584.38</v>
      </c>
      <c r="W14" s="14">
        <v>140.189859983184</v>
      </c>
      <c r="X14" s="14">
        <v>63104.15</v>
      </c>
      <c r="Y14" s="13">
        <f t="shared" si="4"/>
        <v>0.0371085021795677</v>
      </c>
      <c r="Z14" s="14">
        <v>65466.183</v>
      </c>
      <c r="AA14" s="14">
        <v>156.859689132476</v>
      </c>
      <c r="AB14" s="14">
        <v>62794.45</v>
      </c>
    </row>
    <row r="15" spans="1:28">
      <c r="A15" t="s">
        <v>90</v>
      </c>
      <c r="B15" t="s">
        <v>91</v>
      </c>
      <c r="C15" t="s">
        <v>6</v>
      </c>
      <c r="D15" s="10">
        <v>64168</v>
      </c>
      <c r="E15" s="11">
        <f t="shared" si="5"/>
        <v>0.00111223662884931</v>
      </c>
      <c r="F15" s="12">
        <v>64239.37</v>
      </c>
      <c r="G15" s="12">
        <v>237.12833172201</v>
      </c>
      <c r="H15" s="12">
        <v>62752.9</v>
      </c>
      <c r="I15" s="11">
        <f t="shared" si="0"/>
        <v>2.80513651664835e-6</v>
      </c>
      <c r="J15" s="12">
        <v>64168.18</v>
      </c>
      <c r="K15" s="12">
        <v>120.181952406386</v>
      </c>
      <c r="L15" s="12">
        <v>61722.35</v>
      </c>
      <c r="M15" s="13">
        <f t="shared" si="1"/>
        <v>0.0183713844907119</v>
      </c>
      <c r="N15" s="14">
        <v>65346.855</v>
      </c>
      <c r="O15" s="14">
        <v>160.802162838951</v>
      </c>
      <c r="P15" s="14">
        <v>62833.2</v>
      </c>
      <c r="Q15" s="13">
        <f t="shared" si="2"/>
        <v>0.0167817603790051</v>
      </c>
      <c r="R15" s="14">
        <v>65244.852</v>
      </c>
      <c r="S15" s="14">
        <v>162.881127904275</v>
      </c>
      <c r="T15" s="14">
        <v>62780.1</v>
      </c>
      <c r="U15" s="13">
        <f t="shared" si="3"/>
        <v>0.022040362797656</v>
      </c>
      <c r="V15" s="14">
        <v>65582.286</v>
      </c>
      <c r="W15" s="14">
        <v>146.488248222745</v>
      </c>
      <c r="X15" s="14">
        <v>63102.1</v>
      </c>
      <c r="Y15" s="13">
        <f t="shared" si="4"/>
        <v>0.0179309780575988</v>
      </c>
      <c r="Z15" s="14">
        <v>65318.595</v>
      </c>
      <c r="AA15" s="14">
        <v>160.133583035504</v>
      </c>
      <c r="AB15" s="14">
        <v>62819.45</v>
      </c>
    </row>
    <row r="16" spans="1:28">
      <c r="A16" t="s">
        <v>92</v>
      </c>
      <c r="B16" t="s">
        <v>93</v>
      </c>
      <c r="C16" t="s">
        <v>6</v>
      </c>
      <c r="D16" s="10">
        <v>64432.999</v>
      </c>
      <c r="E16" s="11">
        <f t="shared" si="5"/>
        <v>0.0017105055128661</v>
      </c>
      <c r="F16" s="12">
        <v>64543.212</v>
      </c>
      <c r="G16" s="12">
        <v>180.348067726359</v>
      </c>
      <c r="H16" s="12">
        <v>62587.65</v>
      </c>
      <c r="I16" s="11">
        <f t="shared" si="0"/>
        <v>0</v>
      </c>
      <c r="J16" s="12">
        <v>64432.999</v>
      </c>
      <c r="K16" s="12">
        <v>112.025330119671</v>
      </c>
      <c r="L16" s="12">
        <v>61647.85</v>
      </c>
      <c r="M16" s="13">
        <f t="shared" si="1"/>
        <v>0.0152269646800081</v>
      </c>
      <c r="N16" s="14">
        <v>65414.118</v>
      </c>
      <c r="O16" s="14">
        <v>145.236126417783</v>
      </c>
      <c r="P16" s="14">
        <v>62864.4</v>
      </c>
      <c r="Q16" s="13">
        <f t="shared" si="2"/>
        <v>0.01494850488024</v>
      </c>
      <c r="R16" s="14">
        <v>65396.176</v>
      </c>
      <c r="S16" s="14">
        <v>158.793757215221</v>
      </c>
      <c r="T16" s="14">
        <v>62871.8</v>
      </c>
      <c r="U16" s="13">
        <f t="shared" si="3"/>
        <v>0.0163059149241213</v>
      </c>
      <c r="V16" s="14">
        <v>65483.638</v>
      </c>
      <c r="W16" s="14">
        <v>164.211825319422</v>
      </c>
      <c r="X16" s="14">
        <v>62963.3</v>
      </c>
      <c r="Y16" s="13">
        <f t="shared" si="4"/>
        <v>0.0205785237468148</v>
      </c>
      <c r="Z16" s="14">
        <v>65758.935</v>
      </c>
      <c r="AA16" s="14">
        <v>163.253784722791</v>
      </c>
      <c r="AB16" s="14">
        <v>62793</v>
      </c>
    </row>
    <row r="17" spans="1:28">
      <c r="A17" t="s">
        <v>94</v>
      </c>
      <c r="B17" t="s">
        <v>95</v>
      </c>
      <c r="C17" s="2" t="s">
        <v>18</v>
      </c>
      <c r="D17" s="10">
        <v>62494.35</v>
      </c>
      <c r="E17" s="11">
        <f t="shared" si="5"/>
        <v>0</v>
      </c>
      <c r="F17" s="12">
        <v>62494.35</v>
      </c>
      <c r="G17" s="12">
        <v>169.305477574832</v>
      </c>
      <c r="H17" s="12">
        <v>62494.35</v>
      </c>
      <c r="I17" s="11">
        <f t="shared" si="0"/>
        <v>0.0813836770844084</v>
      </c>
      <c r="J17" s="12">
        <v>67580.37</v>
      </c>
      <c r="K17" s="12">
        <v>88.9370703007707</v>
      </c>
      <c r="L17" s="12">
        <v>61487.8</v>
      </c>
      <c r="M17" s="13">
        <f t="shared" si="1"/>
        <v>0.105934936518261</v>
      </c>
      <c r="N17" s="14">
        <v>69114.685</v>
      </c>
      <c r="O17" s="14">
        <v>168.379079757553</v>
      </c>
      <c r="P17" s="14">
        <v>62830.9</v>
      </c>
      <c r="Q17" s="13">
        <f t="shared" si="2"/>
        <v>0.100837475707804</v>
      </c>
      <c r="R17" s="14">
        <v>68796.1225</v>
      </c>
      <c r="S17" s="14">
        <v>150.247564543707</v>
      </c>
      <c r="T17" s="14">
        <v>62788.75</v>
      </c>
      <c r="U17" s="13">
        <f t="shared" si="3"/>
        <v>0.106906984391389</v>
      </c>
      <c r="V17" s="14">
        <v>69175.4325</v>
      </c>
      <c r="W17" s="14">
        <v>168.813795952662</v>
      </c>
      <c r="X17" s="14">
        <v>63121.45</v>
      </c>
      <c r="Y17" s="13">
        <f t="shared" si="4"/>
        <v>0.0905966699389626</v>
      </c>
      <c r="Z17" s="14">
        <v>68156.13</v>
      </c>
      <c r="AA17" s="14">
        <v>163.748371144973</v>
      </c>
      <c r="AB17" s="14">
        <v>62768.2</v>
      </c>
    </row>
    <row r="18" spans="1:28">
      <c r="A18" t="s">
        <v>96</v>
      </c>
      <c r="B18" t="s">
        <v>97</v>
      </c>
      <c r="C18" s="2" t="s">
        <v>18</v>
      </c>
      <c r="D18" s="10">
        <v>64039.2125</v>
      </c>
      <c r="E18" s="11">
        <f t="shared" si="5"/>
        <v>0</v>
      </c>
      <c r="F18" s="12">
        <v>64039.2125</v>
      </c>
      <c r="G18" s="12">
        <v>174.542774032917</v>
      </c>
      <c r="H18" s="12">
        <v>62513.45</v>
      </c>
      <c r="I18" s="11">
        <f t="shared" si="0"/>
        <v>0.0554500884907041</v>
      </c>
      <c r="J18" s="12">
        <v>67590.1925</v>
      </c>
      <c r="K18" s="12">
        <v>81.645687150414</v>
      </c>
      <c r="L18" s="12">
        <v>61496.65</v>
      </c>
      <c r="M18" s="13">
        <f t="shared" si="1"/>
        <v>0.0792758030870539</v>
      </c>
      <c r="N18" s="14">
        <v>69115.9725</v>
      </c>
      <c r="O18" s="14">
        <v>172.724928468575</v>
      </c>
      <c r="P18" s="14">
        <v>62832</v>
      </c>
      <c r="Q18" s="13">
        <f t="shared" si="2"/>
        <v>0.0743020536050471</v>
      </c>
      <c r="R18" s="14">
        <v>68797.4575</v>
      </c>
      <c r="S18" s="14">
        <v>174.440757003482</v>
      </c>
      <c r="T18" s="14">
        <v>62790.7</v>
      </c>
      <c r="U18" s="13">
        <f t="shared" si="3"/>
        <v>0.080243998940493</v>
      </c>
      <c r="V18" s="14">
        <v>69177.975</v>
      </c>
      <c r="W18" s="14">
        <v>169.218513746982</v>
      </c>
      <c r="X18" s="14">
        <v>63124</v>
      </c>
      <c r="Y18" s="13">
        <f t="shared" si="4"/>
        <v>0.0749650458303183</v>
      </c>
      <c r="Z18" s="14">
        <v>68839.915</v>
      </c>
      <c r="AA18" s="14">
        <v>164.053678715231</v>
      </c>
      <c r="AB18" s="14">
        <v>62787.25</v>
      </c>
    </row>
    <row r="19" spans="1:28">
      <c r="A19" t="s">
        <v>98</v>
      </c>
      <c r="B19" t="s">
        <v>99</v>
      </c>
      <c r="C19" s="2" t="s">
        <v>18</v>
      </c>
      <c r="D19" s="10">
        <v>64039.2125</v>
      </c>
      <c r="E19" s="11">
        <f t="shared" si="5"/>
        <v>0</v>
      </c>
      <c r="F19" s="12">
        <v>64039.2125</v>
      </c>
      <c r="G19" s="12">
        <v>174.542774032917</v>
      </c>
      <c r="H19" s="12">
        <v>62513.45</v>
      </c>
      <c r="I19" s="11">
        <f t="shared" si="0"/>
        <v>0.0597661549944887</v>
      </c>
      <c r="J19" s="12">
        <v>67866.59</v>
      </c>
      <c r="K19" s="12">
        <v>82.7783002966352</v>
      </c>
      <c r="L19" s="12">
        <v>61512.2</v>
      </c>
      <c r="M19" s="13">
        <f t="shared" si="1"/>
        <v>0.0792810342569405</v>
      </c>
      <c r="N19" s="14">
        <v>69116.3075</v>
      </c>
      <c r="O19" s="14">
        <v>170.756361733227</v>
      </c>
      <c r="P19" s="14">
        <v>62832.1</v>
      </c>
      <c r="Q19" s="13">
        <f t="shared" si="2"/>
        <v>0.0744461059698383</v>
      </c>
      <c r="R19" s="14">
        <v>68806.6825</v>
      </c>
      <c r="S19" s="14">
        <v>165.926496309758</v>
      </c>
      <c r="T19" s="14">
        <v>62799.8</v>
      </c>
      <c r="U19" s="13">
        <f t="shared" si="3"/>
        <v>0.0802308819771947</v>
      </c>
      <c r="V19" s="14">
        <v>69177.135</v>
      </c>
      <c r="W19" s="14">
        <v>169.04962764012</v>
      </c>
      <c r="X19" s="14">
        <v>63123.25</v>
      </c>
      <c r="Y19" s="13">
        <f t="shared" si="4"/>
        <v>0.0822054143779486</v>
      </c>
      <c r="Z19" s="14">
        <v>69303.5825</v>
      </c>
      <c r="AA19" s="14">
        <v>174.305895871386</v>
      </c>
      <c r="AB19" s="14">
        <v>62768.9</v>
      </c>
    </row>
    <row r="20" spans="1:28">
      <c r="A20" t="s">
        <v>100</v>
      </c>
      <c r="B20" t="s">
        <v>101</v>
      </c>
      <c r="C20" s="2" t="s">
        <v>18</v>
      </c>
      <c r="D20" s="10">
        <v>66469.075</v>
      </c>
      <c r="E20" s="11">
        <f t="shared" si="5"/>
        <v>0</v>
      </c>
      <c r="F20" s="12">
        <v>66469.075</v>
      </c>
      <c r="G20" s="12">
        <v>257.223625572442</v>
      </c>
      <c r="H20" s="12">
        <v>62752.9</v>
      </c>
      <c r="I20" s="11">
        <f t="shared" si="0"/>
        <v>0.0207291511127544</v>
      </c>
      <c r="J20" s="12">
        <v>67846.9225</v>
      </c>
      <c r="K20" s="12">
        <v>114.41646628252</v>
      </c>
      <c r="L20" s="12">
        <v>61732.65</v>
      </c>
      <c r="M20" s="13">
        <f t="shared" si="1"/>
        <v>0.0397856822890946</v>
      </c>
      <c r="N20" s="14">
        <v>69113.5925</v>
      </c>
      <c r="O20" s="14">
        <v>172.776223750321</v>
      </c>
      <c r="P20" s="14">
        <v>62830.45</v>
      </c>
      <c r="Q20" s="13">
        <f t="shared" si="2"/>
        <v>0.0351692873716085</v>
      </c>
      <c r="R20" s="14">
        <v>68806.745</v>
      </c>
      <c r="S20" s="14">
        <v>176.211613886318</v>
      </c>
      <c r="T20" s="14">
        <v>62798.6</v>
      </c>
      <c r="U20" s="13">
        <f t="shared" si="3"/>
        <v>0.0406932848095148</v>
      </c>
      <c r="V20" s="14">
        <v>69173.92</v>
      </c>
      <c r="W20" s="14">
        <v>160.605683683918</v>
      </c>
      <c r="X20" s="14">
        <v>63120.1</v>
      </c>
      <c r="Y20" s="13">
        <f t="shared" si="4"/>
        <v>0.0379085687592312</v>
      </c>
      <c r="Z20" s="14">
        <v>68988.8225</v>
      </c>
      <c r="AA20" s="14">
        <v>172.132572435959</v>
      </c>
      <c r="AB20" s="14">
        <v>62791.55</v>
      </c>
    </row>
    <row r="21" spans="1:28">
      <c r="A21" t="s">
        <v>102</v>
      </c>
      <c r="B21" t="s">
        <v>103</v>
      </c>
      <c r="C21" s="2" t="s">
        <v>18</v>
      </c>
      <c r="D21" s="10">
        <v>67476.555</v>
      </c>
      <c r="E21" s="11">
        <f t="shared" si="5"/>
        <v>0</v>
      </c>
      <c r="F21" s="12">
        <v>67476.555</v>
      </c>
      <c r="G21" s="12">
        <v>195.657439566951</v>
      </c>
      <c r="H21" s="12">
        <v>62587.65</v>
      </c>
      <c r="I21" s="11">
        <f t="shared" si="0"/>
        <v>0.0169474790169713</v>
      </c>
      <c r="J21" s="12">
        <v>68620.1125</v>
      </c>
      <c r="K21" s="12">
        <v>106.248978787662</v>
      </c>
      <c r="L21" s="12">
        <v>61656.2</v>
      </c>
      <c r="M21" s="13">
        <f t="shared" si="1"/>
        <v>0.0263434833032007</v>
      </c>
      <c r="N21" s="14">
        <v>69254.1225</v>
      </c>
      <c r="O21" s="14">
        <v>161.527724095017</v>
      </c>
      <c r="P21" s="14">
        <v>62877.45</v>
      </c>
      <c r="Q21" s="13">
        <f t="shared" si="2"/>
        <v>0.0230352231230538</v>
      </c>
      <c r="R21" s="14">
        <v>69030.8925</v>
      </c>
      <c r="S21" s="14">
        <v>181.272902200987</v>
      </c>
      <c r="T21" s="14">
        <v>62811.55</v>
      </c>
      <c r="U21" s="13">
        <f t="shared" si="3"/>
        <v>0.0259798384787133</v>
      </c>
      <c r="V21" s="14">
        <v>69229.585</v>
      </c>
      <c r="W21" s="14">
        <v>158.546805391972</v>
      </c>
      <c r="X21" s="14">
        <v>62948.05</v>
      </c>
      <c r="Y21" s="13">
        <f t="shared" si="4"/>
        <v>0.040236012345325</v>
      </c>
      <c r="Z21" s="14">
        <v>70191.5425</v>
      </c>
      <c r="AA21" s="14">
        <v>166.487081271381</v>
      </c>
      <c r="AB21" s="14">
        <v>62818.55</v>
      </c>
    </row>
    <row r="22" spans="1:28">
      <c r="A22" t="s">
        <v>104</v>
      </c>
      <c r="B22" t="s">
        <v>105</v>
      </c>
      <c r="C22" s="2" t="s">
        <v>18</v>
      </c>
      <c r="D22" s="10">
        <v>62494.35</v>
      </c>
      <c r="E22" s="11">
        <f t="shared" si="5"/>
        <v>0</v>
      </c>
      <c r="F22" s="12">
        <v>62494.35</v>
      </c>
      <c r="G22" s="12">
        <v>169.305477574832</v>
      </c>
      <c r="H22" s="12">
        <v>62494.35</v>
      </c>
      <c r="I22" s="11">
        <f t="shared" si="0"/>
        <v>0.178814964872824</v>
      </c>
      <c r="J22" s="12">
        <v>73669.275</v>
      </c>
      <c r="K22" s="12">
        <v>96.4804418413105</v>
      </c>
      <c r="L22" s="12">
        <v>61483.5</v>
      </c>
      <c r="M22" s="13">
        <f t="shared" si="1"/>
        <v>0.206480025794332</v>
      </c>
      <c r="N22" s="14">
        <v>75398.185</v>
      </c>
      <c r="O22" s="14">
        <v>180.53500979909</v>
      </c>
      <c r="P22" s="14">
        <v>62831.65</v>
      </c>
      <c r="Q22" s="13">
        <f t="shared" si="2"/>
        <v>0.189860203362384</v>
      </c>
      <c r="R22" s="14">
        <v>74359.54</v>
      </c>
      <c r="S22" s="14">
        <v>200.397681991006</v>
      </c>
      <c r="T22" s="14">
        <v>62805.8</v>
      </c>
      <c r="U22" s="13">
        <f t="shared" si="3"/>
        <v>0.197160463305883</v>
      </c>
      <c r="V22" s="14">
        <v>74815.765</v>
      </c>
      <c r="W22" s="14">
        <v>170.994642190608</v>
      </c>
      <c r="X22" s="14">
        <v>63140.15</v>
      </c>
      <c r="Y22" s="13">
        <f t="shared" si="4"/>
        <v>0.155313160309692</v>
      </c>
      <c r="Z22" s="14">
        <v>72200.545</v>
      </c>
      <c r="AA22" s="14">
        <v>182.041378971635</v>
      </c>
      <c r="AB22" s="14">
        <v>62878.45</v>
      </c>
    </row>
    <row r="23" spans="1:28">
      <c r="A23" t="s">
        <v>106</v>
      </c>
      <c r="B23" t="s">
        <v>107</v>
      </c>
      <c r="C23" s="2" t="s">
        <v>18</v>
      </c>
      <c r="D23" s="10">
        <v>65564.975</v>
      </c>
      <c r="E23" s="11">
        <f t="shared" si="5"/>
        <v>0</v>
      </c>
      <c r="F23" s="12">
        <v>65564.975</v>
      </c>
      <c r="G23" s="12">
        <v>182.851892539464</v>
      </c>
      <c r="H23" s="12">
        <v>62513.45</v>
      </c>
      <c r="I23" s="11">
        <f t="shared" si="0"/>
        <v>0.123697599213604</v>
      </c>
      <c r="J23" s="12">
        <v>73675.205</v>
      </c>
      <c r="K23" s="12">
        <v>92.0740004161402</v>
      </c>
      <c r="L23" s="12">
        <v>61490</v>
      </c>
      <c r="M23" s="13">
        <f t="shared" si="1"/>
        <v>0.149943548365572</v>
      </c>
      <c r="N23" s="14">
        <v>75396.02</v>
      </c>
      <c r="O23" s="14">
        <v>187.16649947658</v>
      </c>
      <c r="P23" s="14">
        <v>62831</v>
      </c>
      <c r="Q23" s="13">
        <f t="shared" si="2"/>
        <v>0.13447545736119</v>
      </c>
      <c r="R23" s="14">
        <v>74381.855</v>
      </c>
      <c r="S23" s="14">
        <v>178.62770008272</v>
      </c>
      <c r="T23" s="14">
        <v>62822.3</v>
      </c>
      <c r="U23" s="13">
        <f t="shared" si="3"/>
        <v>0.141310051593858</v>
      </c>
      <c r="V23" s="14">
        <v>74829.965</v>
      </c>
      <c r="W23" s="14">
        <v>166.015165049207</v>
      </c>
      <c r="X23" s="14">
        <v>63151.5</v>
      </c>
      <c r="Y23" s="13">
        <f t="shared" si="4"/>
        <v>0.136084090629181</v>
      </c>
      <c r="Z23" s="14">
        <v>74487.325</v>
      </c>
      <c r="AA23" s="14">
        <v>192.816484540421</v>
      </c>
      <c r="AB23" s="14">
        <v>62771.6</v>
      </c>
    </row>
    <row r="24" spans="1:28">
      <c r="A24" t="s">
        <v>108</v>
      </c>
      <c r="B24" t="s">
        <v>109</v>
      </c>
      <c r="C24" s="2" t="s">
        <v>18</v>
      </c>
      <c r="D24" s="10">
        <v>65564.975</v>
      </c>
      <c r="E24" s="11">
        <f t="shared" si="5"/>
        <v>0</v>
      </c>
      <c r="F24" s="12">
        <v>65564.975</v>
      </c>
      <c r="G24" s="12">
        <v>182.851892539464</v>
      </c>
      <c r="H24" s="12">
        <v>62513.45</v>
      </c>
      <c r="I24" s="11">
        <f t="shared" si="0"/>
        <v>0.131892980970404</v>
      </c>
      <c r="J24" s="12">
        <v>74212.535</v>
      </c>
      <c r="K24" s="12">
        <v>103.303707963207</v>
      </c>
      <c r="L24" s="12">
        <v>61504.75</v>
      </c>
      <c r="M24" s="13">
        <f t="shared" si="1"/>
        <v>0.149974738799183</v>
      </c>
      <c r="N24" s="14">
        <v>75398.065</v>
      </c>
      <c r="O24" s="14">
        <v>185.32999948882</v>
      </c>
      <c r="P24" s="14">
        <v>62830.95</v>
      </c>
      <c r="Q24" s="13">
        <f t="shared" si="2"/>
        <v>0.134313938196423</v>
      </c>
      <c r="R24" s="14">
        <v>74371.265</v>
      </c>
      <c r="S24" s="14">
        <v>185.412224303177</v>
      </c>
      <c r="T24" s="14">
        <v>62814.45</v>
      </c>
      <c r="U24" s="13">
        <f t="shared" si="3"/>
        <v>0.141207939147388</v>
      </c>
      <c r="V24" s="14">
        <v>74823.27</v>
      </c>
      <c r="W24" s="14">
        <v>185.809458430148</v>
      </c>
      <c r="X24" s="14">
        <v>63146.05</v>
      </c>
      <c r="Y24" s="13">
        <f t="shared" si="4"/>
        <v>0.149910146385322</v>
      </c>
      <c r="Z24" s="14">
        <v>75393.83</v>
      </c>
      <c r="AA24" s="14">
        <v>200.667612313445</v>
      </c>
      <c r="AB24" s="14">
        <v>62751.55</v>
      </c>
    </row>
    <row r="25" spans="1:28">
      <c r="A25" t="s">
        <v>110</v>
      </c>
      <c r="B25" t="s">
        <v>111</v>
      </c>
      <c r="C25" s="2" t="s">
        <v>18</v>
      </c>
      <c r="D25" s="10">
        <v>70185.25</v>
      </c>
      <c r="E25" s="11">
        <f t="shared" si="5"/>
        <v>0</v>
      </c>
      <c r="F25" s="12">
        <v>70185.25</v>
      </c>
      <c r="G25" s="12">
        <v>290.715841546887</v>
      </c>
      <c r="H25" s="12">
        <v>62752.9</v>
      </c>
      <c r="I25" s="11">
        <f t="shared" si="0"/>
        <v>0.0538001218204681</v>
      </c>
      <c r="J25" s="12">
        <v>73961.225</v>
      </c>
      <c r="K25" s="12">
        <v>139.448250635366</v>
      </c>
      <c r="L25" s="12">
        <v>61731.9</v>
      </c>
      <c r="M25" s="13">
        <f t="shared" si="1"/>
        <v>0.07429060949416</v>
      </c>
      <c r="N25" s="14">
        <v>75399.355</v>
      </c>
      <c r="O25" s="14">
        <v>189.186306044428</v>
      </c>
      <c r="P25" s="14">
        <v>62831.25</v>
      </c>
      <c r="Q25" s="13">
        <f t="shared" si="2"/>
        <v>0.0596420188002466</v>
      </c>
      <c r="R25" s="14">
        <v>74371.24</v>
      </c>
      <c r="S25" s="14">
        <v>193.416228024326</v>
      </c>
      <c r="T25" s="14">
        <v>62814.95</v>
      </c>
      <c r="U25" s="13">
        <f t="shared" si="3"/>
        <v>0.0660707912275016</v>
      </c>
      <c r="V25" s="14">
        <v>74822.445</v>
      </c>
      <c r="W25" s="14">
        <v>178.849096859247</v>
      </c>
      <c r="X25" s="14">
        <v>63145.1</v>
      </c>
      <c r="Y25" s="13">
        <f t="shared" si="4"/>
        <v>0.0689625669211123</v>
      </c>
      <c r="Z25" s="14">
        <v>75025.405</v>
      </c>
      <c r="AA25" s="14">
        <v>185.617885580482</v>
      </c>
      <c r="AB25" s="14">
        <v>62767.7</v>
      </c>
    </row>
    <row r="26" spans="1:28">
      <c r="A26" t="s">
        <v>112</v>
      </c>
      <c r="B26" t="s">
        <v>113</v>
      </c>
      <c r="C26" s="2" t="s">
        <v>18</v>
      </c>
      <c r="D26" s="10">
        <v>72365.46</v>
      </c>
      <c r="E26" s="11">
        <f t="shared" si="5"/>
        <v>0</v>
      </c>
      <c r="F26" s="12">
        <v>72365.46</v>
      </c>
      <c r="G26" s="12">
        <v>221.17306488716</v>
      </c>
      <c r="H26" s="12">
        <v>62587.65</v>
      </c>
      <c r="I26" s="11">
        <f t="shared" si="0"/>
        <v>0.0444262359418428</v>
      </c>
      <c r="J26" s="12">
        <v>75580.385</v>
      </c>
      <c r="K26" s="12">
        <v>143.339278324283</v>
      </c>
      <c r="L26" s="12">
        <v>61655.2</v>
      </c>
      <c r="M26" s="13">
        <f t="shared" si="1"/>
        <v>0.0450484941296578</v>
      </c>
      <c r="N26" s="14">
        <v>75625.415</v>
      </c>
      <c r="O26" s="14">
        <v>176.81558419944</v>
      </c>
      <c r="P26" s="14">
        <v>62872.65</v>
      </c>
      <c r="Q26" s="13">
        <f t="shared" si="2"/>
        <v>0.0359280518634166</v>
      </c>
      <c r="R26" s="14">
        <v>74965.41</v>
      </c>
      <c r="S26" s="14">
        <v>199.095374923149</v>
      </c>
      <c r="T26" s="14">
        <v>62757.25</v>
      </c>
      <c r="U26" s="13">
        <f t="shared" si="3"/>
        <v>0.0424214120935594</v>
      </c>
      <c r="V26" s="14">
        <v>75435.305</v>
      </c>
      <c r="W26" s="14">
        <v>194.627240141929</v>
      </c>
      <c r="X26" s="14">
        <v>62896.1</v>
      </c>
      <c r="Y26" s="13">
        <f t="shared" si="4"/>
        <v>0.0699088349607672</v>
      </c>
      <c r="Z26" s="14">
        <v>77424.445</v>
      </c>
      <c r="AA26" s="14">
        <v>193.712762058183</v>
      </c>
      <c r="AB26" s="14">
        <v>62800.45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zoomScale="130" zoomScaleNormal="130" topLeftCell="A76" workbookViewId="0">
      <selection activeCell="D80" sqref="D80"/>
    </sheetView>
  </sheetViews>
  <sheetFormatPr defaultColWidth="9" defaultRowHeight="15"/>
  <cols>
    <col min="1" max="1" width="5" customWidth="1"/>
    <col min="2" max="2" width="22.3333333333333" customWidth="1"/>
    <col min="3" max="3" width="8.33333333333333" customWidth="1"/>
    <col min="4" max="4" width="8.55238095238095" customWidth="1"/>
    <col min="5" max="5" width="16.3333333333333" style="1" customWidth="1"/>
    <col min="6" max="6" width="12.3333333333333" customWidth="1"/>
    <col min="7" max="10" width="14.3333333333333" customWidth="1"/>
    <col min="11" max="11" width="17.8857142857143" customWidth="1"/>
    <col min="12" max="12" width="10.4380952380952" customWidth="1"/>
  </cols>
  <sheetData>
    <row r="1" spans="1:12">
      <c r="A1" t="s">
        <v>0</v>
      </c>
      <c r="B1" t="s">
        <v>1</v>
      </c>
      <c r="C1" t="s">
        <v>114</v>
      </c>
      <c r="D1" t="s">
        <v>115</v>
      </c>
      <c r="E1" s="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</row>
    <row r="2" ht="16.5" spans="1:12">
      <c r="A2">
        <v>1</v>
      </c>
      <c r="B2" t="s">
        <v>65</v>
      </c>
      <c r="C2" s="2" t="s">
        <v>18</v>
      </c>
      <c r="D2" s="2">
        <v>77165</v>
      </c>
      <c r="E2" s="3">
        <v>24.7796769133746</v>
      </c>
      <c r="F2">
        <v>77165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s="4" t="s">
        <v>129</v>
      </c>
    </row>
    <row r="3" spans="1:12">
      <c r="A3">
        <v>1</v>
      </c>
      <c r="B3" t="s">
        <v>65</v>
      </c>
      <c r="C3" s="2" t="s">
        <v>130</v>
      </c>
      <c r="D3" s="2">
        <v>62486</v>
      </c>
      <c r="E3" s="3">
        <v>1.04299736420821</v>
      </c>
      <c r="F3">
        <v>62486</v>
      </c>
      <c r="G3" t="s">
        <v>131</v>
      </c>
      <c r="H3" t="s">
        <v>132</v>
      </c>
      <c r="I3" t="s">
        <v>133</v>
      </c>
      <c r="J3" t="s">
        <v>134</v>
      </c>
      <c r="K3" t="s">
        <v>135</v>
      </c>
      <c r="L3" s="5" t="s">
        <v>129</v>
      </c>
    </row>
    <row r="4" spans="1:12">
      <c r="A4">
        <v>1</v>
      </c>
      <c r="B4" t="s">
        <v>65</v>
      </c>
      <c r="C4" s="2" t="s">
        <v>136</v>
      </c>
      <c r="D4" s="2">
        <v>62490</v>
      </c>
      <c r="E4" s="3">
        <v>1.04946556491648</v>
      </c>
      <c r="F4">
        <v>62490</v>
      </c>
      <c r="G4" t="s">
        <v>137</v>
      </c>
      <c r="H4" t="s">
        <v>138</v>
      </c>
      <c r="I4" t="s">
        <v>139</v>
      </c>
      <c r="J4" t="s">
        <v>140</v>
      </c>
      <c r="K4" t="s">
        <v>134</v>
      </c>
      <c r="L4" s="5" t="s">
        <v>129</v>
      </c>
    </row>
    <row r="5" spans="1:12">
      <c r="A5">
        <v>1</v>
      </c>
      <c r="B5" t="s">
        <v>65</v>
      </c>
      <c r="C5" s="2" t="s">
        <v>141</v>
      </c>
      <c r="D5" s="2">
        <v>64615</v>
      </c>
      <c r="E5" s="3">
        <v>4.48569719118384</v>
      </c>
      <c r="F5">
        <v>62817</v>
      </c>
      <c r="G5" t="s">
        <v>142</v>
      </c>
      <c r="H5" t="s">
        <v>143</v>
      </c>
      <c r="I5" t="s">
        <v>144</v>
      </c>
      <c r="J5" t="s">
        <v>145</v>
      </c>
      <c r="K5" t="s">
        <v>146</v>
      </c>
      <c r="L5" s="5" t="s">
        <v>129</v>
      </c>
    </row>
    <row r="6" spans="1:12">
      <c r="A6">
        <v>1</v>
      </c>
      <c r="B6" t="s">
        <v>65</v>
      </c>
      <c r="C6" s="2" t="s">
        <v>147</v>
      </c>
      <c r="D6" s="2">
        <v>62475</v>
      </c>
      <c r="E6" s="3">
        <v>1.02520981226047</v>
      </c>
      <c r="F6">
        <v>62475</v>
      </c>
      <c r="G6" t="s">
        <v>137</v>
      </c>
      <c r="H6" t="s">
        <v>148</v>
      </c>
      <c r="I6" t="s">
        <v>149</v>
      </c>
      <c r="J6" t="s">
        <v>150</v>
      </c>
      <c r="K6" t="s">
        <v>151</v>
      </c>
      <c r="L6" s="5" t="s">
        <v>129</v>
      </c>
    </row>
    <row r="7" spans="1:12">
      <c r="A7">
        <v>1</v>
      </c>
      <c r="B7" t="s">
        <v>65</v>
      </c>
      <c r="C7" t="s">
        <v>6</v>
      </c>
      <c r="D7">
        <v>61841</v>
      </c>
      <c r="E7" s="3">
        <v>0</v>
      </c>
      <c r="F7">
        <v>61841</v>
      </c>
      <c r="G7" t="s">
        <v>152</v>
      </c>
      <c r="H7" t="s">
        <v>153</v>
      </c>
      <c r="I7" t="s">
        <v>154</v>
      </c>
      <c r="J7" t="s">
        <v>155</v>
      </c>
      <c r="K7" t="s">
        <v>156</v>
      </c>
      <c r="L7" s="5" t="s">
        <v>157</v>
      </c>
    </row>
    <row r="8" spans="1:12">
      <c r="A8">
        <v>2</v>
      </c>
      <c r="B8" t="s">
        <v>67</v>
      </c>
      <c r="C8" s="2" t="s">
        <v>18</v>
      </c>
      <c r="D8" s="2">
        <v>77567</v>
      </c>
      <c r="E8" s="3">
        <v>25.4743687215905</v>
      </c>
      <c r="F8">
        <v>77567</v>
      </c>
      <c r="G8" t="s">
        <v>158</v>
      </c>
      <c r="H8" t="s">
        <v>159</v>
      </c>
      <c r="I8" t="s">
        <v>160</v>
      </c>
      <c r="J8" t="s">
        <v>161</v>
      </c>
      <c r="K8" t="s">
        <v>162</v>
      </c>
      <c r="L8" s="5" t="s">
        <v>129</v>
      </c>
    </row>
    <row r="9" spans="1:12">
      <c r="A9">
        <v>2</v>
      </c>
      <c r="B9" t="s">
        <v>67</v>
      </c>
      <c r="C9" s="2" t="s">
        <v>130</v>
      </c>
      <c r="D9" s="2">
        <v>62488</v>
      </c>
      <c r="E9" s="3">
        <v>1.08219155922936</v>
      </c>
      <c r="F9">
        <v>62488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s="5" t="s">
        <v>129</v>
      </c>
    </row>
    <row r="10" spans="1:12">
      <c r="A10">
        <v>2</v>
      </c>
      <c r="B10" t="s">
        <v>67</v>
      </c>
      <c r="C10" s="2" t="s">
        <v>136</v>
      </c>
      <c r="D10" s="2">
        <v>62490</v>
      </c>
      <c r="E10" s="3">
        <v>1.08542681052751</v>
      </c>
      <c r="F10">
        <v>62490</v>
      </c>
      <c r="G10" t="s">
        <v>168</v>
      </c>
      <c r="H10" t="s">
        <v>169</v>
      </c>
      <c r="I10" t="s">
        <v>170</v>
      </c>
      <c r="J10" t="s">
        <v>171</v>
      </c>
      <c r="K10" t="s">
        <v>172</v>
      </c>
      <c r="L10" s="5" t="s">
        <v>129</v>
      </c>
    </row>
    <row r="11" spans="1:12">
      <c r="A11">
        <v>2</v>
      </c>
      <c r="B11" t="s">
        <v>67</v>
      </c>
      <c r="C11" s="2" t="s">
        <v>141</v>
      </c>
      <c r="D11" s="2">
        <v>64651</v>
      </c>
      <c r="E11" s="3">
        <v>4.58111583817273</v>
      </c>
      <c r="F11">
        <v>62830</v>
      </c>
      <c r="G11" t="s">
        <v>173</v>
      </c>
      <c r="H11" t="s">
        <v>174</v>
      </c>
      <c r="I11" t="s">
        <v>175</v>
      </c>
      <c r="J11" t="s">
        <v>176</v>
      </c>
      <c r="K11" t="s">
        <v>177</v>
      </c>
      <c r="L11" s="5" t="s">
        <v>129</v>
      </c>
    </row>
    <row r="12" spans="1:12">
      <c r="A12">
        <v>2</v>
      </c>
      <c r="B12" t="s">
        <v>67</v>
      </c>
      <c r="C12" s="2" t="s">
        <v>147</v>
      </c>
      <c r="D12" s="2">
        <v>62473</v>
      </c>
      <c r="E12" s="3">
        <v>1.05792717449328</v>
      </c>
      <c r="F12">
        <v>62473</v>
      </c>
      <c r="G12" t="s">
        <v>178</v>
      </c>
      <c r="H12" t="s">
        <v>179</v>
      </c>
      <c r="I12" t="s">
        <v>180</v>
      </c>
      <c r="J12" t="s">
        <v>181</v>
      </c>
      <c r="K12" t="s">
        <v>163</v>
      </c>
      <c r="L12" s="5" t="s">
        <v>129</v>
      </c>
    </row>
    <row r="13" spans="1:12">
      <c r="A13">
        <v>2</v>
      </c>
      <c r="B13" t="s">
        <v>67</v>
      </c>
      <c r="C13" t="s">
        <v>6</v>
      </c>
      <c r="D13">
        <v>61819</v>
      </c>
      <c r="E13" s="3">
        <v>0</v>
      </c>
      <c r="F13">
        <v>61819</v>
      </c>
      <c r="G13" t="s">
        <v>182</v>
      </c>
      <c r="H13" t="s">
        <v>183</v>
      </c>
      <c r="I13" t="s">
        <v>184</v>
      </c>
      <c r="J13" t="s">
        <v>185</v>
      </c>
      <c r="K13" t="s">
        <v>186</v>
      </c>
      <c r="L13" s="5" t="s">
        <v>157</v>
      </c>
    </row>
    <row r="14" spans="1:12">
      <c r="A14">
        <v>3</v>
      </c>
      <c r="B14" t="s">
        <v>69</v>
      </c>
      <c r="C14" s="2" t="s">
        <v>18</v>
      </c>
      <c r="D14" s="2">
        <v>77238</v>
      </c>
      <c r="E14" s="3">
        <v>24.8533048833713</v>
      </c>
      <c r="F14">
        <v>77238</v>
      </c>
      <c r="G14" t="s">
        <v>187</v>
      </c>
      <c r="H14" t="s">
        <v>188</v>
      </c>
      <c r="I14" t="s">
        <v>189</v>
      </c>
      <c r="J14" t="s">
        <v>190</v>
      </c>
      <c r="K14" t="s">
        <v>191</v>
      </c>
      <c r="L14" s="5" t="s">
        <v>129</v>
      </c>
    </row>
    <row r="15" spans="1:12">
      <c r="A15">
        <v>3</v>
      </c>
      <c r="B15" t="s">
        <v>69</v>
      </c>
      <c r="C15" s="2" t="s">
        <v>130</v>
      </c>
      <c r="D15" s="2">
        <v>62496</v>
      </c>
      <c r="E15" s="3">
        <v>1.02322874739343</v>
      </c>
      <c r="F15">
        <v>62496</v>
      </c>
      <c r="G15" t="s">
        <v>192</v>
      </c>
      <c r="H15" t="s">
        <v>163</v>
      </c>
      <c r="I15" t="s">
        <v>193</v>
      </c>
      <c r="J15" t="s">
        <v>194</v>
      </c>
      <c r="K15" t="s">
        <v>195</v>
      </c>
      <c r="L15" s="5" t="s">
        <v>129</v>
      </c>
    </row>
    <row r="16" spans="1:12">
      <c r="A16">
        <v>3</v>
      </c>
      <c r="B16" t="s">
        <v>69</v>
      </c>
      <c r="C16" s="2" t="s">
        <v>136</v>
      </c>
      <c r="D16" s="2">
        <v>62493</v>
      </c>
      <c r="E16" s="3">
        <v>1.01837932205034</v>
      </c>
      <c r="F16">
        <v>62493</v>
      </c>
      <c r="G16" t="s">
        <v>196</v>
      </c>
      <c r="H16" t="s">
        <v>197</v>
      </c>
      <c r="I16" t="s">
        <v>198</v>
      </c>
      <c r="J16" t="s">
        <v>199</v>
      </c>
      <c r="K16" t="s">
        <v>200</v>
      </c>
      <c r="L16" s="5" t="s">
        <v>129</v>
      </c>
    </row>
    <row r="17" spans="1:12">
      <c r="A17">
        <v>3</v>
      </c>
      <c r="B17" t="s">
        <v>69</v>
      </c>
      <c r="C17" s="2" t="s">
        <v>141</v>
      </c>
      <c r="D17" s="2">
        <v>64746</v>
      </c>
      <c r="E17" s="3">
        <v>4.66029775471607</v>
      </c>
      <c r="F17">
        <v>62790</v>
      </c>
      <c r="G17" t="s">
        <v>173</v>
      </c>
      <c r="H17" t="s">
        <v>174</v>
      </c>
      <c r="I17" t="s">
        <v>201</v>
      </c>
      <c r="J17" t="s">
        <v>202</v>
      </c>
      <c r="K17" t="s">
        <v>203</v>
      </c>
      <c r="L17" s="5" t="s">
        <v>129</v>
      </c>
    </row>
    <row r="18" spans="1:12">
      <c r="A18">
        <v>3</v>
      </c>
      <c r="B18" t="s">
        <v>69</v>
      </c>
      <c r="C18" s="2" t="s">
        <v>147</v>
      </c>
      <c r="D18" s="2">
        <v>62382</v>
      </c>
      <c r="E18" s="3">
        <v>0.838950584355754</v>
      </c>
      <c r="F18">
        <v>62382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 s="5" t="s">
        <v>129</v>
      </c>
    </row>
    <row r="19" spans="1:12">
      <c r="A19">
        <v>3</v>
      </c>
      <c r="B19" t="s">
        <v>69</v>
      </c>
      <c r="C19" t="s">
        <v>6</v>
      </c>
      <c r="D19">
        <v>61863</v>
      </c>
      <c r="E19" s="3">
        <v>0</v>
      </c>
      <c r="F19">
        <v>61863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 s="5" t="s">
        <v>157</v>
      </c>
    </row>
    <row r="20" spans="1:12">
      <c r="A20">
        <v>4</v>
      </c>
      <c r="B20" t="s">
        <v>71</v>
      </c>
      <c r="C20" s="2" t="s">
        <v>18</v>
      </c>
      <c r="D20" s="2">
        <v>77318</v>
      </c>
      <c r="E20" s="3">
        <v>25.0109136768582</v>
      </c>
      <c r="F20">
        <v>77318</v>
      </c>
      <c r="G20" t="s">
        <v>214</v>
      </c>
      <c r="H20" t="s">
        <v>215</v>
      </c>
      <c r="I20" t="s">
        <v>216</v>
      </c>
      <c r="J20" t="s">
        <v>217</v>
      </c>
      <c r="K20" t="s">
        <v>218</v>
      </c>
      <c r="L20" s="5" t="s">
        <v>129</v>
      </c>
    </row>
    <row r="21" spans="1:12">
      <c r="A21">
        <v>4</v>
      </c>
      <c r="B21" t="s">
        <v>71</v>
      </c>
      <c r="C21" s="2" t="s">
        <v>130</v>
      </c>
      <c r="D21" s="2">
        <v>62481</v>
      </c>
      <c r="E21" s="3">
        <v>1.02184352212647</v>
      </c>
      <c r="F21">
        <v>62481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s="5" t="s">
        <v>129</v>
      </c>
    </row>
    <row r="22" spans="1:12">
      <c r="A22">
        <v>4</v>
      </c>
      <c r="B22" t="s">
        <v>71</v>
      </c>
      <c r="C22" s="2" t="s">
        <v>136</v>
      </c>
      <c r="D22" s="2">
        <v>62464</v>
      </c>
      <c r="E22" s="3">
        <v>0.99435722485408</v>
      </c>
      <c r="F22">
        <v>62464</v>
      </c>
      <c r="G22" t="s">
        <v>224</v>
      </c>
      <c r="H22" t="s">
        <v>225</v>
      </c>
      <c r="I22" t="s">
        <v>226</v>
      </c>
      <c r="J22" t="s">
        <v>227</v>
      </c>
      <c r="K22" t="s">
        <v>228</v>
      </c>
      <c r="L22" s="5" t="s">
        <v>129</v>
      </c>
    </row>
    <row r="23" spans="1:12">
      <c r="A23">
        <v>4</v>
      </c>
      <c r="B23" t="s">
        <v>71</v>
      </c>
      <c r="C23" s="2" t="s">
        <v>141</v>
      </c>
      <c r="D23" s="2">
        <v>64623</v>
      </c>
      <c r="E23" s="3">
        <v>4.48511697844751</v>
      </c>
      <c r="F23">
        <v>62825</v>
      </c>
      <c r="G23" t="s">
        <v>229</v>
      </c>
      <c r="H23" t="s">
        <v>230</v>
      </c>
      <c r="I23" t="s">
        <v>231</v>
      </c>
      <c r="J23" t="s">
        <v>232</v>
      </c>
      <c r="K23" t="s">
        <v>233</v>
      </c>
      <c r="L23" s="5" t="s">
        <v>129</v>
      </c>
    </row>
    <row r="24" spans="1:12">
      <c r="A24">
        <v>4</v>
      </c>
      <c r="B24" t="s">
        <v>71</v>
      </c>
      <c r="C24" s="2" t="s">
        <v>147</v>
      </c>
      <c r="D24" s="2">
        <v>62479</v>
      </c>
      <c r="E24" s="3">
        <v>1.01860984009442</v>
      </c>
      <c r="F24">
        <v>62479</v>
      </c>
      <c r="G24" t="s">
        <v>221</v>
      </c>
      <c r="H24" t="s">
        <v>234</v>
      </c>
      <c r="I24" t="s">
        <v>235</v>
      </c>
      <c r="J24" t="s">
        <v>236</v>
      </c>
      <c r="K24" t="s">
        <v>237</v>
      </c>
      <c r="L24" s="5" t="s">
        <v>129</v>
      </c>
    </row>
    <row r="25" spans="1:12">
      <c r="A25">
        <v>4</v>
      </c>
      <c r="B25" t="s">
        <v>71</v>
      </c>
      <c r="C25" t="s">
        <v>6</v>
      </c>
      <c r="D25">
        <v>61849</v>
      </c>
      <c r="E25" s="3">
        <v>0</v>
      </c>
      <c r="F25">
        <v>61849</v>
      </c>
      <c r="G25" t="s">
        <v>238</v>
      </c>
      <c r="H25" t="s">
        <v>239</v>
      </c>
      <c r="I25" t="s">
        <v>240</v>
      </c>
      <c r="J25" t="s">
        <v>241</v>
      </c>
      <c r="K25" t="s">
        <v>242</v>
      </c>
      <c r="L25" s="5" t="s">
        <v>157</v>
      </c>
    </row>
    <row r="26" spans="1:12">
      <c r="A26">
        <v>5</v>
      </c>
      <c r="B26" t="s">
        <v>73</v>
      </c>
      <c r="C26" s="2" t="s">
        <v>18</v>
      </c>
      <c r="D26" s="2">
        <v>75007</v>
      </c>
      <c r="E26" s="3">
        <v>21.3253966970221</v>
      </c>
      <c r="F26">
        <v>75007</v>
      </c>
      <c r="G26" t="s">
        <v>243</v>
      </c>
      <c r="H26" t="s">
        <v>244</v>
      </c>
      <c r="I26" t="s">
        <v>245</v>
      </c>
      <c r="J26" t="s">
        <v>246</v>
      </c>
      <c r="K26" t="s">
        <v>247</v>
      </c>
      <c r="L26" s="5" t="s">
        <v>129</v>
      </c>
    </row>
    <row r="27" spans="1:12">
      <c r="A27">
        <v>5</v>
      </c>
      <c r="B27" t="s">
        <v>73</v>
      </c>
      <c r="C27" s="2" t="s">
        <v>130</v>
      </c>
      <c r="D27" s="2">
        <v>62635</v>
      </c>
      <c r="E27" s="3">
        <v>1.31342704171587</v>
      </c>
      <c r="F27">
        <v>62635</v>
      </c>
      <c r="G27" t="s">
        <v>248</v>
      </c>
      <c r="H27" t="s">
        <v>249</v>
      </c>
      <c r="I27" t="s">
        <v>250</v>
      </c>
      <c r="J27" t="s">
        <v>251</v>
      </c>
      <c r="K27" t="s">
        <v>252</v>
      </c>
      <c r="L27" s="5" t="s">
        <v>129</v>
      </c>
    </row>
    <row r="28" spans="1:12">
      <c r="A28">
        <v>5</v>
      </c>
      <c r="B28" t="s">
        <v>73</v>
      </c>
      <c r="C28" s="2" t="s">
        <v>136</v>
      </c>
      <c r="D28" s="2">
        <v>62580</v>
      </c>
      <c r="E28" s="3">
        <v>1.22446338741245</v>
      </c>
      <c r="F28">
        <v>62580</v>
      </c>
      <c r="G28" t="s">
        <v>253</v>
      </c>
      <c r="H28" t="s">
        <v>254</v>
      </c>
      <c r="I28" t="s">
        <v>255</v>
      </c>
      <c r="J28" t="s">
        <v>256</v>
      </c>
      <c r="K28" t="s">
        <v>257</v>
      </c>
      <c r="L28" s="5" t="s">
        <v>129</v>
      </c>
    </row>
    <row r="29" spans="1:12">
      <c r="A29">
        <v>5</v>
      </c>
      <c r="B29" t="s">
        <v>73</v>
      </c>
      <c r="C29" s="2" t="s">
        <v>141</v>
      </c>
      <c r="D29" s="2">
        <v>65240</v>
      </c>
      <c r="E29" s="3">
        <v>5.52706921372305</v>
      </c>
      <c r="F29">
        <v>62717</v>
      </c>
      <c r="G29" t="s">
        <v>258</v>
      </c>
      <c r="H29" t="s">
        <v>259</v>
      </c>
      <c r="I29" t="s">
        <v>260</v>
      </c>
      <c r="J29" t="s">
        <v>261</v>
      </c>
      <c r="K29" t="s">
        <v>262</v>
      </c>
      <c r="L29" s="5" t="s">
        <v>129</v>
      </c>
    </row>
    <row r="30" spans="1:12">
      <c r="A30">
        <v>5</v>
      </c>
      <c r="B30" t="s">
        <v>73</v>
      </c>
      <c r="C30" s="2" t="s">
        <v>147</v>
      </c>
      <c r="D30" s="2">
        <v>62484</v>
      </c>
      <c r="E30" s="3">
        <v>1.06918137262831</v>
      </c>
      <c r="F30">
        <v>62484</v>
      </c>
      <c r="G30" t="s">
        <v>263</v>
      </c>
      <c r="H30" t="s">
        <v>264</v>
      </c>
      <c r="I30" t="s">
        <v>265</v>
      </c>
      <c r="J30" t="s">
        <v>266</v>
      </c>
      <c r="K30" t="s">
        <v>267</v>
      </c>
      <c r="L30" s="5" t="s">
        <v>129</v>
      </c>
    </row>
    <row r="31" spans="1:12">
      <c r="A31">
        <v>5</v>
      </c>
      <c r="B31" t="s">
        <v>73</v>
      </c>
      <c r="C31" t="s">
        <v>6</v>
      </c>
      <c r="D31">
        <v>61823</v>
      </c>
      <c r="E31" s="3">
        <v>0</v>
      </c>
      <c r="F31">
        <v>61823</v>
      </c>
      <c r="G31" t="s">
        <v>268</v>
      </c>
      <c r="H31" t="s">
        <v>269</v>
      </c>
      <c r="I31" t="s">
        <v>270</v>
      </c>
      <c r="J31" t="s">
        <v>271</v>
      </c>
      <c r="K31" t="s">
        <v>272</v>
      </c>
      <c r="L31" s="5" t="s">
        <v>157</v>
      </c>
    </row>
    <row r="32" spans="1:12">
      <c r="A32">
        <v>6</v>
      </c>
      <c r="B32" t="s">
        <v>75</v>
      </c>
      <c r="C32" s="2" t="s">
        <v>18</v>
      </c>
      <c r="D32" s="2">
        <v>62189</v>
      </c>
      <c r="E32" s="3">
        <v>0</v>
      </c>
      <c r="F32">
        <v>62189</v>
      </c>
      <c r="G32" t="s">
        <v>273</v>
      </c>
      <c r="H32" t="s">
        <v>274</v>
      </c>
      <c r="I32" t="s">
        <v>274</v>
      </c>
      <c r="J32" t="s">
        <v>274</v>
      </c>
      <c r="K32" t="s">
        <v>274</v>
      </c>
      <c r="L32" s="5" t="s">
        <v>157</v>
      </c>
    </row>
    <row r="33" spans="1:12">
      <c r="A33">
        <v>6</v>
      </c>
      <c r="B33" t="s">
        <v>75</v>
      </c>
      <c r="C33" s="2" t="s">
        <v>130</v>
      </c>
      <c r="D33" s="2">
        <v>63719.71</v>
      </c>
      <c r="E33" s="3">
        <v>2.46138384601778</v>
      </c>
      <c r="F33">
        <v>62470</v>
      </c>
      <c r="G33" t="s">
        <v>275</v>
      </c>
      <c r="H33" t="s">
        <v>276</v>
      </c>
      <c r="I33" t="s">
        <v>277</v>
      </c>
      <c r="J33" t="s">
        <v>278</v>
      </c>
      <c r="K33" t="s">
        <v>279</v>
      </c>
      <c r="L33" s="5" t="s">
        <v>129</v>
      </c>
    </row>
    <row r="34" spans="1:12">
      <c r="A34">
        <v>6</v>
      </c>
      <c r="B34" t="s">
        <v>75</v>
      </c>
      <c r="C34" s="2" t="s">
        <v>136</v>
      </c>
      <c r="D34" s="2">
        <v>63714.19</v>
      </c>
      <c r="E34" s="3">
        <v>2.45250767820676</v>
      </c>
      <c r="F34">
        <v>62477</v>
      </c>
      <c r="G34" t="s">
        <v>280</v>
      </c>
      <c r="H34" t="s">
        <v>281</v>
      </c>
      <c r="I34" t="s">
        <v>139</v>
      </c>
      <c r="J34" t="s">
        <v>282</v>
      </c>
      <c r="K34" t="s">
        <v>283</v>
      </c>
      <c r="L34" s="5" t="s">
        <v>129</v>
      </c>
    </row>
    <row r="35" spans="1:12">
      <c r="A35">
        <v>6</v>
      </c>
      <c r="B35" t="s">
        <v>75</v>
      </c>
      <c r="C35" s="2" t="s">
        <v>141</v>
      </c>
      <c r="D35" s="2">
        <v>66299.91</v>
      </c>
      <c r="E35" s="3">
        <v>6.61034909710721</v>
      </c>
      <c r="F35">
        <v>62806</v>
      </c>
      <c r="G35" t="s">
        <v>284</v>
      </c>
      <c r="H35" t="s">
        <v>285</v>
      </c>
      <c r="I35" t="s">
        <v>286</v>
      </c>
      <c r="J35" t="s">
        <v>287</v>
      </c>
      <c r="K35" t="s">
        <v>288</v>
      </c>
      <c r="L35" s="5" t="s">
        <v>129</v>
      </c>
    </row>
    <row r="36" spans="1:12">
      <c r="A36">
        <v>6</v>
      </c>
      <c r="B36" t="s">
        <v>75</v>
      </c>
      <c r="C36" s="2" t="s">
        <v>147</v>
      </c>
      <c r="D36" s="2">
        <v>63656.76</v>
      </c>
      <c r="E36" s="3">
        <v>2.36016015694094</v>
      </c>
      <c r="F36">
        <v>62446</v>
      </c>
      <c r="G36" t="s">
        <v>289</v>
      </c>
      <c r="H36" t="s">
        <v>290</v>
      </c>
      <c r="I36" t="s">
        <v>291</v>
      </c>
      <c r="J36" t="s">
        <v>292</v>
      </c>
      <c r="K36" t="s">
        <v>293</v>
      </c>
      <c r="L36" s="5" t="s">
        <v>129</v>
      </c>
    </row>
    <row r="37" spans="1:12">
      <c r="A37">
        <v>6</v>
      </c>
      <c r="B37" t="s">
        <v>75</v>
      </c>
      <c r="C37" t="s">
        <v>6</v>
      </c>
      <c r="D37">
        <v>62552.94</v>
      </c>
      <c r="E37" s="3">
        <v>0.585216034990115</v>
      </c>
      <c r="F37">
        <v>61337</v>
      </c>
      <c r="G37" t="s">
        <v>294</v>
      </c>
      <c r="H37" t="s">
        <v>295</v>
      </c>
      <c r="I37" t="s">
        <v>296</v>
      </c>
      <c r="J37" t="s">
        <v>297</v>
      </c>
      <c r="K37" t="s">
        <v>298</v>
      </c>
      <c r="L37" s="5" t="s">
        <v>129</v>
      </c>
    </row>
    <row r="38" spans="1:12">
      <c r="A38">
        <v>7</v>
      </c>
      <c r="B38" t="s">
        <v>77</v>
      </c>
      <c r="C38" s="2" t="s">
        <v>18</v>
      </c>
      <c r="D38" s="2">
        <v>62524.24</v>
      </c>
      <c r="E38" s="3">
        <v>0.0162843366756219</v>
      </c>
      <c r="F38">
        <v>62222</v>
      </c>
      <c r="G38" t="s">
        <v>299</v>
      </c>
      <c r="H38" t="s">
        <v>300</v>
      </c>
      <c r="I38" t="s">
        <v>274</v>
      </c>
      <c r="J38" t="s">
        <v>274</v>
      </c>
      <c r="K38" t="s">
        <v>274</v>
      </c>
      <c r="L38" s="5" t="s">
        <v>129</v>
      </c>
    </row>
    <row r="39" spans="1:12">
      <c r="A39">
        <v>7</v>
      </c>
      <c r="B39" t="s">
        <v>77</v>
      </c>
      <c r="C39" s="2" t="s">
        <v>130</v>
      </c>
      <c r="D39" s="2">
        <v>63734.49</v>
      </c>
      <c r="E39" s="3">
        <v>1.95224882210498</v>
      </c>
      <c r="F39">
        <v>62485</v>
      </c>
      <c r="G39" t="s">
        <v>180</v>
      </c>
      <c r="H39" t="s">
        <v>301</v>
      </c>
      <c r="I39" t="s">
        <v>302</v>
      </c>
      <c r="J39" t="s">
        <v>197</v>
      </c>
      <c r="K39" t="s">
        <v>303</v>
      </c>
      <c r="L39" s="5" t="s">
        <v>129</v>
      </c>
    </row>
    <row r="40" spans="1:12">
      <c r="A40">
        <v>7</v>
      </c>
      <c r="B40" t="s">
        <v>77</v>
      </c>
      <c r="C40" s="2" t="s">
        <v>136</v>
      </c>
      <c r="D40" s="2">
        <v>63698.33</v>
      </c>
      <c r="E40" s="3">
        <v>1.89440583446349</v>
      </c>
      <c r="F40">
        <v>62460</v>
      </c>
      <c r="G40" t="s">
        <v>304</v>
      </c>
      <c r="H40" t="s">
        <v>305</v>
      </c>
      <c r="I40" t="s">
        <v>302</v>
      </c>
      <c r="J40" t="s">
        <v>306</v>
      </c>
      <c r="K40" t="s">
        <v>307</v>
      </c>
      <c r="L40" s="5" t="s">
        <v>129</v>
      </c>
    </row>
    <row r="41" spans="1:12">
      <c r="A41">
        <v>7</v>
      </c>
      <c r="B41" t="s">
        <v>77</v>
      </c>
      <c r="C41" s="2" t="s">
        <v>141</v>
      </c>
      <c r="D41" s="2">
        <v>65804.12</v>
      </c>
      <c r="E41" s="3">
        <v>5.26291205530404</v>
      </c>
      <c r="F41">
        <v>62826</v>
      </c>
      <c r="G41" t="s">
        <v>308</v>
      </c>
      <c r="H41" t="s">
        <v>309</v>
      </c>
      <c r="I41" t="s">
        <v>310</v>
      </c>
      <c r="J41" t="s">
        <v>311</v>
      </c>
      <c r="K41" t="s">
        <v>312</v>
      </c>
      <c r="L41" s="5" t="s">
        <v>129</v>
      </c>
    </row>
    <row r="42" spans="1:12">
      <c r="A42">
        <v>7</v>
      </c>
      <c r="B42" t="s">
        <v>77</v>
      </c>
      <c r="C42" s="2" t="s">
        <v>147</v>
      </c>
      <c r="D42" s="2">
        <v>63731.54</v>
      </c>
      <c r="E42" s="3">
        <v>1.94752988367737</v>
      </c>
      <c r="F42">
        <v>62491</v>
      </c>
      <c r="G42" t="s">
        <v>313</v>
      </c>
      <c r="H42" t="s">
        <v>314</v>
      </c>
      <c r="I42" t="s">
        <v>315</v>
      </c>
      <c r="J42" t="s">
        <v>316</v>
      </c>
      <c r="K42" t="s">
        <v>317</v>
      </c>
      <c r="L42" s="5" t="s">
        <v>129</v>
      </c>
    </row>
    <row r="43" spans="1:12">
      <c r="A43">
        <v>7</v>
      </c>
      <c r="B43" t="s">
        <v>77</v>
      </c>
      <c r="C43" t="s">
        <v>6</v>
      </c>
      <c r="D43">
        <v>62514.06</v>
      </c>
      <c r="E43" s="3">
        <v>0</v>
      </c>
      <c r="F43">
        <v>61299</v>
      </c>
      <c r="G43" t="s">
        <v>318</v>
      </c>
      <c r="H43" t="s">
        <v>319</v>
      </c>
      <c r="I43" t="s">
        <v>320</v>
      </c>
      <c r="J43" t="s">
        <v>321</v>
      </c>
      <c r="K43" t="s">
        <v>322</v>
      </c>
      <c r="L43" s="5" t="s">
        <v>157</v>
      </c>
    </row>
    <row r="44" spans="1:12">
      <c r="A44">
        <v>8</v>
      </c>
      <c r="B44" t="s">
        <v>79</v>
      </c>
      <c r="C44" s="2" t="s">
        <v>18</v>
      </c>
      <c r="D44" s="2">
        <v>62524.24</v>
      </c>
      <c r="E44" s="3">
        <v>0</v>
      </c>
      <c r="F44">
        <v>62222</v>
      </c>
      <c r="G44" t="s">
        <v>299</v>
      </c>
      <c r="H44" t="s">
        <v>300</v>
      </c>
      <c r="I44" t="s">
        <v>274</v>
      </c>
      <c r="J44" t="s">
        <v>274</v>
      </c>
      <c r="K44" t="s">
        <v>274</v>
      </c>
      <c r="L44" s="5" t="s">
        <v>157</v>
      </c>
    </row>
    <row r="45" spans="1:12">
      <c r="A45">
        <v>8</v>
      </c>
      <c r="B45" t="s">
        <v>79</v>
      </c>
      <c r="C45" s="2" t="s">
        <v>130</v>
      </c>
      <c r="D45" s="2">
        <v>63743.59</v>
      </c>
      <c r="E45" s="3">
        <v>1.95020363302297</v>
      </c>
      <c r="F45">
        <v>62492</v>
      </c>
      <c r="G45" t="s">
        <v>166</v>
      </c>
      <c r="H45" t="s">
        <v>323</v>
      </c>
      <c r="I45" t="s">
        <v>324</v>
      </c>
      <c r="J45" t="s">
        <v>325</v>
      </c>
      <c r="K45" t="s">
        <v>326</v>
      </c>
      <c r="L45" s="5" t="s">
        <v>129</v>
      </c>
    </row>
    <row r="46" spans="1:12">
      <c r="A46">
        <v>8</v>
      </c>
      <c r="B46" t="s">
        <v>79</v>
      </c>
      <c r="C46" s="2" t="s">
        <v>136</v>
      </c>
      <c r="D46" s="2">
        <v>63713.14</v>
      </c>
      <c r="E46" s="3">
        <v>1.90150252126216</v>
      </c>
      <c r="F46">
        <v>62476</v>
      </c>
      <c r="G46" t="s">
        <v>327</v>
      </c>
      <c r="H46" t="s">
        <v>328</v>
      </c>
      <c r="I46" t="s">
        <v>329</v>
      </c>
      <c r="J46" t="s">
        <v>330</v>
      </c>
      <c r="K46" t="s">
        <v>331</v>
      </c>
      <c r="L46" s="5" t="s">
        <v>129</v>
      </c>
    </row>
    <row r="47" spans="1:12">
      <c r="A47">
        <v>8</v>
      </c>
      <c r="B47" t="s">
        <v>79</v>
      </c>
      <c r="C47" s="2" t="s">
        <v>141</v>
      </c>
      <c r="D47" s="2">
        <v>65971.13</v>
      </c>
      <c r="E47" s="3">
        <v>5.5128858823394</v>
      </c>
      <c r="F47">
        <v>62829</v>
      </c>
      <c r="G47" t="s">
        <v>308</v>
      </c>
      <c r="H47" t="s">
        <v>332</v>
      </c>
      <c r="I47" t="s">
        <v>333</v>
      </c>
      <c r="J47" t="s">
        <v>334</v>
      </c>
      <c r="K47" t="s">
        <v>335</v>
      </c>
      <c r="L47" s="5" t="s">
        <v>129</v>
      </c>
    </row>
    <row r="48" spans="1:12">
      <c r="A48">
        <v>8</v>
      </c>
      <c r="B48" t="s">
        <v>79</v>
      </c>
      <c r="C48" s="2" t="s">
        <v>147</v>
      </c>
      <c r="D48" s="2">
        <v>63772.33</v>
      </c>
      <c r="E48" s="3">
        <v>1.99616980550264</v>
      </c>
      <c r="F48">
        <v>62433</v>
      </c>
      <c r="G48" t="s">
        <v>336</v>
      </c>
      <c r="H48" t="s">
        <v>337</v>
      </c>
      <c r="I48" t="s">
        <v>338</v>
      </c>
      <c r="J48" t="s">
        <v>339</v>
      </c>
      <c r="K48" t="s">
        <v>340</v>
      </c>
      <c r="L48" s="5" t="s">
        <v>129</v>
      </c>
    </row>
    <row r="49" spans="1:12">
      <c r="A49">
        <v>8</v>
      </c>
      <c r="B49" t="s">
        <v>79</v>
      </c>
      <c r="C49" t="s">
        <v>6</v>
      </c>
      <c r="D49">
        <v>62614.31</v>
      </c>
      <c r="E49" s="3">
        <v>0.144056129270823</v>
      </c>
      <c r="F49">
        <v>61347</v>
      </c>
      <c r="G49" t="s">
        <v>341</v>
      </c>
      <c r="H49" t="s">
        <v>342</v>
      </c>
      <c r="I49" t="s">
        <v>343</v>
      </c>
      <c r="J49" t="s">
        <v>344</v>
      </c>
      <c r="K49" t="s">
        <v>345</v>
      </c>
      <c r="L49" s="5" t="s">
        <v>129</v>
      </c>
    </row>
    <row r="50" spans="1:12">
      <c r="A50">
        <v>9</v>
      </c>
      <c r="B50" t="s">
        <v>81</v>
      </c>
      <c r="C50" s="2" t="s">
        <v>18</v>
      </c>
      <c r="D50" s="2">
        <v>63062.68</v>
      </c>
      <c r="E50" s="3">
        <v>0.491184368787289</v>
      </c>
      <c r="F50">
        <v>62332</v>
      </c>
      <c r="G50" t="s">
        <v>346</v>
      </c>
      <c r="H50" t="s">
        <v>347</v>
      </c>
      <c r="I50" t="s">
        <v>348</v>
      </c>
      <c r="J50" t="s">
        <v>349</v>
      </c>
      <c r="K50" t="s">
        <v>274</v>
      </c>
      <c r="L50" s="5" t="s">
        <v>129</v>
      </c>
    </row>
    <row r="51" spans="1:12">
      <c r="A51">
        <v>9</v>
      </c>
      <c r="B51" t="s">
        <v>81</v>
      </c>
      <c r="C51" s="2" t="s">
        <v>130</v>
      </c>
      <c r="D51" s="2">
        <v>63743.23</v>
      </c>
      <c r="E51" s="3">
        <v>1.57564946798984</v>
      </c>
      <c r="F51">
        <v>62494</v>
      </c>
      <c r="G51" t="s">
        <v>350</v>
      </c>
      <c r="H51" t="s">
        <v>351</v>
      </c>
      <c r="I51" t="s">
        <v>352</v>
      </c>
      <c r="J51" t="s">
        <v>227</v>
      </c>
      <c r="K51" t="s">
        <v>353</v>
      </c>
      <c r="L51" s="5" t="s">
        <v>129</v>
      </c>
    </row>
    <row r="52" spans="1:12">
      <c r="A52">
        <v>9</v>
      </c>
      <c r="B52" t="s">
        <v>81</v>
      </c>
      <c r="C52" s="2" t="s">
        <v>136</v>
      </c>
      <c r="D52" s="2">
        <v>63715.25</v>
      </c>
      <c r="E52" s="3">
        <v>1.53106298136036</v>
      </c>
      <c r="F52">
        <v>62477</v>
      </c>
      <c r="G52" t="s">
        <v>354</v>
      </c>
      <c r="H52" t="s">
        <v>355</v>
      </c>
      <c r="I52" t="s">
        <v>227</v>
      </c>
      <c r="J52" t="s">
        <v>356</v>
      </c>
      <c r="K52" t="s">
        <v>357</v>
      </c>
      <c r="L52" s="5" t="s">
        <v>129</v>
      </c>
    </row>
    <row r="53" spans="1:12">
      <c r="A53">
        <v>9</v>
      </c>
      <c r="B53" t="s">
        <v>81</v>
      </c>
      <c r="C53" s="2" t="s">
        <v>141</v>
      </c>
      <c r="D53" s="2">
        <v>65864.53</v>
      </c>
      <c r="E53" s="3">
        <v>4.95596805580608</v>
      </c>
      <c r="F53">
        <v>62817</v>
      </c>
      <c r="G53" t="s">
        <v>358</v>
      </c>
      <c r="H53" t="s">
        <v>359</v>
      </c>
      <c r="I53" t="s">
        <v>360</v>
      </c>
      <c r="J53" t="s">
        <v>361</v>
      </c>
      <c r="K53" t="s">
        <v>362</v>
      </c>
      <c r="L53" s="5" t="s">
        <v>129</v>
      </c>
    </row>
    <row r="54" spans="1:12">
      <c r="A54">
        <v>9</v>
      </c>
      <c r="B54" t="s">
        <v>81</v>
      </c>
      <c r="C54" s="2" t="s">
        <v>147</v>
      </c>
      <c r="D54" s="2">
        <v>63741.84</v>
      </c>
      <c r="E54" s="3">
        <v>1.57343448527307</v>
      </c>
      <c r="F54">
        <v>62496</v>
      </c>
      <c r="G54" t="s">
        <v>229</v>
      </c>
      <c r="H54" t="s">
        <v>363</v>
      </c>
      <c r="I54" t="s">
        <v>364</v>
      </c>
      <c r="J54" t="s">
        <v>365</v>
      </c>
      <c r="K54" t="s">
        <v>366</v>
      </c>
      <c r="L54" s="5" t="s">
        <v>129</v>
      </c>
    </row>
    <row r="55" spans="1:12">
      <c r="A55">
        <v>9</v>
      </c>
      <c r="B55" t="s">
        <v>81</v>
      </c>
      <c r="C55" t="s">
        <v>6</v>
      </c>
      <c r="D55">
        <v>62754.44</v>
      </c>
      <c r="E55" s="3">
        <v>0</v>
      </c>
      <c r="F55">
        <v>61535</v>
      </c>
      <c r="G55" t="s">
        <v>367</v>
      </c>
      <c r="H55" t="s">
        <v>368</v>
      </c>
      <c r="I55" t="s">
        <v>369</v>
      </c>
      <c r="J55" t="s">
        <v>370</v>
      </c>
      <c r="K55" t="s">
        <v>371</v>
      </c>
      <c r="L55" s="5" t="s">
        <v>157</v>
      </c>
    </row>
    <row r="56" spans="1:12">
      <c r="A56">
        <v>10</v>
      </c>
      <c r="B56" t="s">
        <v>83</v>
      </c>
      <c r="C56" s="2" t="s">
        <v>18</v>
      </c>
      <c r="D56" s="2">
        <v>63292.84</v>
      </c>
      <c r="E56" s="3">
        <v>0.749322292632685</v>
      </c>
      <c r="F56">
        <v>62323</v>
      </c>
      <c r="G56" t="s">
        <v>372</v>
      </c>
      <c r="H56" t="s">
        <v>373</v>
      </c>
      <c r="I56" t="s">
        <v>374</v>
      </c>
      <c r="J56" t="s">
        <v>375</v>
      </c>
      <c r="K56" t="s">
        <v>274</v>
      </c>
      <c r="L56" s="5" t="s">
        <v>129</v>
      </c>
    </row>
    <row r="57" spans="1:12">
      <c r="A57">
        <v>10</v>
      </c>
      <c r="B57" t="s">
        <v>83</v>
      </c>
      <c r="C57" s="2" t="s">
        <v>130</v>
      </c>
      <c r="D57" s="2">
        <v>63893.4</v>
      </c>
      <c r="E57" s="3">
        <v>1.70529160916302</v>
      </c>
      <c r="F57">
        <v>62624</v>
      </c>
      <c r="G57" t="s">
        <v>376</v>
      </c>
      <c r="H57" t="s">
        <v>377</v>
      </c>
      <c r="I57" t="s">
        <v>378</v>
      </c>
      <c r="J57" t="s">
        <v>379</v>
      </c>
      <c r="K57" t="s">
        <v>380</v>
      </c>
      <c r="L57" s="5" t="s">
        <v>129</v>
      </c>
    </row>
    <row r="58" spans="1:12">
      <c r="A58">
        <v>10</v>
      </c>
      <c r="B58" t="s">
        <v>83</v>
      </c>
      <c r="C58" s="2" t="s">
        <v>136</v>
      </c>
      <c r="D58" s="2">
        <v>63830.73</v>
      </c>
      <c r="E58" s="3">
        <v>1.60553372141333</v>
      </c>
      <c r="F58">
        <v>62569</v>
      </c>
      <c r="G58" t="s">
        <v>381</v>
      </c>
      <c r="H58" t="s">
        <v>382</v>
      </c>
      <c r="I58" t="s">
        <v>383</v>
      </c>
      <c r="J58" t="s">
        <v>384</v>
      </c>
      <c r="K58" t="s">
        <v>385</v>
      </c>
      <c r="L58" s="5" t="s">
        <v>129</v>
      </c>
    </row>
    <row r="59" spans="1:12">
      <c r="A59">
        <v>10</v>
      </c>
      <c r="B59" t="s">
        <v>83</v>
      </c>
      <c r="C59" s="2" t="s">
        <v>141</v>
      </c>
      <c r="D59" s="2">
        <v>66597.94</v>
      </c>
      <c r="E59" s="3">
        <v>6.01036896251479</v>
      </c>
      <c r="F59">
        <v>62659</v>
      </c>
      <c r="G59" t="s">
        <v>386</v>
      </c>
      <c r="H59" t="s">
        <v>387</v>
      </c>
      <c r="I59" t="s">
        <v>388</v>
      </c>
      <c r="J59" t="s">
        <v>389</v>
      </c>
      <c r="K59" t="s">
        <v>390</v>
      </c>
      <c r="L59" s="5" t="s">
        <v>129</v>
      </c>
    </row>
    <row r="60" spans="1:12">
      <c r="A60">
        <v>10</v>
      </c>
      <c r="B60" t="s">
        <v>83</v>
      </c>
      <c r="C60" s="2" t="s">
        <v>147</v>
      </c>
      <c r="D60" s="2">
        <v>63917.28</v>
      </c>
      <c r="E60" s="3">
        <v>1.74330371000014</v>
      </c>
      <c r="F60">
        <v>62438</v>
      </c>
      <c r="G60" t="s">
        <v>391</v>
      </c>
      <c r="H60" t="s">
        <v>392</v>
      </c>
      <c r="I60" t="s">
        <v>393</v>
      </c>
      <c r="J60" t="s">
        <v>394</v>
      </c>
      <c r="K60" t="s">
        <v>395</v>
      </c>
      <c r="L60" s="5" t="s">
        <v>129</v>
      </c>
    </row>
    <row r="61" spans="1:12">
      <c r="A61">
        <v>10</v>
      </c>
      <c r="B61" t="s">
        <v>83</v>
      </c>
      <c r="C61" t="s">
        <v>6</v>
      </c>
      <c r="D61">
        <v>62822.1</v>
      </c>
      <c r="E61" s="3">
        <v>0</v>
      </c>
      <c r="F61">
        <v>61433</v>
      </c>
      <c r="G61" t="s">
        <v>396</v>
      </c>
      <c r="H61" t="s">
        <v>397</v>
      </c>
      <c r="I61" t="s">
        <v>398</v>
      </c>
      <c r="J61" t="s">
        <v>399</v>
      </c>
      <c r="K61" t="s">
        <v>400</v>
      </c>
      <c r="L61" s="5" t="s">
        <v>157</v>
      </c>
    </row>
    <row r="62" spans="1:12">
      <c r="A62">
        <v>11</v>
      </c>
      <c r="B62" t="s">
        <v>85</v>
      </c>
      <c r="C62" s="2" t="s">
        <v>18</v>
      </c>
      <c r="D62" s="2">
        <v>62189</v>
      </c>
      <c r="E62" s="3">
        <v>0</v>
      </c>
      <c r="F62">
        <v>62189</v>
      </c>
      <c r="G62" t="s">
        <v>273</v>
      </c>
      <c r="H62" t="s">
        <v>274</v>
      </c>
      <c r="I62" t="s">
        <v>274</v>
      </c>
      <c r="J62" t="s">
        <v>274</v>
      </c>
      <c r="K62" t="s">
        <v>274</v>
      </c>
      <c r="L62" s="5" t="s">
        <v>157</v>
      </c>
    </row>
    <row r="63" spans="1:12">
      <c r="A63">
        <v>11</v>
      </c>
      <c r="B63" t="s">
        <v>85</v>
      </c>
      <c r="C63" s="2" t="s">
        <v>130</v>
      </c>
      <c r="D63" s="2">
        <v>64985.06</v>
      </c>
      <c r="E63" s="3">
        <v>4.49606843654022</v>
      </c>
      <c r="F63">
        <v>62485</v>
      </c>
      <c r="G63" t="s">
        <v>278</v>
      </c>
      <c r="H63" t="s">
        <v>140</v>
      </c>
      <c r="I63" t="s">
        <v>279</v>
      </c>
      <c r="J63" t="s">
        <v>401</v>
      </c>
      <c r="K63" t="s">
        <v>131</v>
      </c>
      <c r="L63" s="5" t="s">
        <v>129</v>
      </c>
    </row>
    <row r="64" spans="1:12">
      <c r="A64">
        <v>11</v>
      </c>
      <c r="B64" t="s">
        <v>85</v>
      </c>
      <c r="C64" s="2" t="s">
        <v>136</v>
      </c>
      <c r="D64" s="2">
        <v>64907.02</v>
      </c>
      <c r="E64" s="3">
        <v>4.3705800061104</v>
      </c>
      <c r="F64">
        <v>62454</v>
      </c>
      <c r="G64" t="s">
        <v>402</v>
      </c>
      <c r="H64" t="s">
        <v>403</v>
      </c>
      <c r="I64" t="s">
        <v>404</v>
      </c>
      <c r="J64" t="s">
        <v>405</v>
      </c>
      <c r="K64" t="s">
        <v>406</v>
      </c>
      <c r="L64" s="5" t="s">
        <v>129</v>
      </c>
    </row>
    <row r="65" spans="1:12">
      <c r="A65">
        <v>11</v>
      </c>
      <c r="B65" t="s">
        <v>85</v>
      </c>
      <c r="C65" s="2" t="s">
        <v>141</v>
      </c>
      <c r="D65" s="2">
        <v>68175.72</v>
      </c>
      <c r="E65" s="3">
        <v>9.62665423145573</v>
      </c>
      <c r="F65">
        <v>62827</v>
      </c>
      <c r="G65" t="s">
        <v>407</v>
      </c>
      <c r="H65" t="s">
        <v>408</v>
      </c>
      <c r="I65" t="s">
        <v>409</v>
      </c>
      <c r="J65" t="s">
        <v>410</v>
      </c>
      <c r="K65" t="s">
        <v>411</v>
      </c>
      <c r="L65" s="5" t="s">
        <v>129</v>
      </c>
    </row>
    <row r="66" spans="1:12">
      <c r="A66">
        <v>11</v>
      </c>
      <c r="B66" t="s">
        <v>85</v>
      </c>
      <c r="C66" s="2" t="s">
        <v>147</v>
      </c>
      <c r="D66" s="2">
        <v>64809.26</v>
      </c>
      <c r="E66" s="3">
        <v>4.21338178777598</v>
      </c>
      <c r="F66">
        <v>62462</v>
      </c>
      <c r="G66" t="s">
        <v>412</v>
      </c>
      <c r="H66" t="s">
        <v>413</v>
      </c>
      <c r="I66" t="s">
        <v>414</v>
      </c>
      <c r="J66" t="s">
        <v>415</v>
      </c>
      <c r="K66" t="s">
        <v>416</v>
      </c>
      <c r="L66" s="5" t="s">
        <v>129</v>
      </c>
    </row>
    <row r="67" spans="1:12">
      <c r="A67">
        <v>11</v>
      </c>
      <c r="B67" t="s">
        <v>85</v>
      </c>
      <c r="C67" t="s">
        <v>6</v>
      </c>
      <c r="D67">
        <v>63735.56</v>
      </c>
      <c r="E67" s="3">
        <v>2.48687066844619</v>
      </c>
      <c r="F67">
        <v>61304</v>
      </c>
      <c r="G67" t="s">
        <v>417</v>
      </c>
      <c r="H67" t="s">
        <v>418</v>
      </c>
      <c r="I67" t="s">
        <v>419</v>
      </c>
      <c r="J67" t="s">
        <v>420</v>
      </c>
      <c r="K67" t="s">
        <v>421</v>
      </c>
      <c r="L67" s="5" t="s">
        <v>129</v>
      </c>
    </row>
    <row r="68" spans="1:12">
      <c r="A68">
        <v>12</v>
      </c>
      <c r="B68" t="s">
        <v>87</v>
      </c>
      <c r="C68" s="2" t="s">
        <v>18</v>
      </c>
      <c r="D68" s="2">
        <v>62826.48</v>
      </c>
      <c r="E68" s="3">
        <v>0</v>
      </c>
      <c r="F68">
        <v>62222</v>
      </c>
      <c r="G68" t="s">
        <v>299</v>
      </c>
      <c r="H68" t="s">
        <v>300</v>
      </c>
      <c r="I68" t="s">
        <v>274</v>
      </c>
      <c r="J68" t="s">
        <v>274</v>
      </c>
      <c r="K68" t="s">
        <v>274</v>
      </c>
      <c r="L68" s="5" t="s">
        <v>157</v>
      </c>
    </row>
    <row r="69" spans="1:12">
      <c r="A69">
        <v>12</v>
      </c>
      <c r="B69" t="s">
        <v>87</v>
      </c>
      <c r="C69" s="2" t="s">
        <v>130</v>
      </c>
      <c r="D69" s="2">
        <v>64981.76</v>
      </c>
      <c r="E69" s="3">
        <v>3.43052801939564</v>
      </c>
      <c r="F69">
        <v>62483</v>
      </c>
      <c r="G69" t="s">
        <v>422</v>
      </c>
      <c r="H69" t="s">
        <v>423</v>
      </c>
      <c r="I69" t="s">
        <v>423</v>
      </c>
      <c r="J69" t="s">
        <v>424</v>
      </c>
      <c r="K69" t="s">
        <v>172</v>
      </c>
      <c r="L69" s="5" t="s">
        <v>129</v>
      </c>
    </row>
    <row r="70" spans="1:12">
      <c r="A70">
        <v>12</v>
      </c>
      <c r="B70" t="s">
        <v>87</v>
      </c>
      <c r="C70" s="2" t="s">
        <v>136</v>
      </c>
      <c r="D70" s="2">
        <v>64909.74</v>
      </c>
      <c r="E70" s="3">
        <v>3.31589482651263</v>
      </c>
      <c r="F70">
        <v>62456</v>
      </c>
      <c r="G70" t="s">
        <v>425</v>
      </c>
      <c r="H70" t="s">
        <v>426</v>
      </c>
      <c r="I70" t="s">
        <v>427</v>
      </c>
      <c r="J70" t="s">
        <v>428</v>
      </c>
      <c r="K70" t="s">
        <v>429</v>
      </c>
      <c r="L70" s="5" t="s">
        <v>129</v>
      </c>
    </row>
    <row r="71" spans="1:12">
      <c r="A71">
        <v>12</v>
      </c>
      <c r="B71" t="s">
        <v>87</v>
      </c>
      <c r="C71" s="2" t="s">
        <v>141</v>
      </c>
      <c r="D71" s="2">
        <v>67197.18</v>
      </c>
      <c r="E71" s="3">
        <v>6.95678000741087</v>
      </c>
      <c r="F71">
        <v>62873</v>
      </c>
      <c r="G71" t="s">
        <v>430</v>
      </c>
      <c r="H71" t="s">
        <v>431</v>
      </c>
      <c r="I71" t="s">
        <v>432</v>
      </c>
      <c r="J71" t="s">
        <v>433</v>
      </c>
      <c r="K71" t="s">
        <v>434</v>
      </c>
      <c r="L71" s="5" t="s">
        <v>129</v>
      </c>
    </row>
    <row r="72" spans="1:12">
      <c r="A72">
        <v>12</v>
      </c>
      <c r="B72" t="s">
        <v>87</v>
      </c>
      <c r="C72" s="2" t="s">
        <v>147</v>
      </c>
      <c r="D72" s="2">
        <v>64912.24</v>
      </c>
      <c r="E72" s="3">
        <v>3.31987404037278</v>
      </c>
      <c r="F72">
        <v>62454</v>
      </c>
      <c r="G72" t="s">
        <v>435</v>
      </c>
      <c r="H72" t="s">
        <v>436</v>
      </c>
      <c r="I72" t="s">
        <v>437</v>
      </c>
      <c r="J72" t="s">
        <v>438</v>
      </c>
      <c r="K72" t="s">
        <v>439</v>
      </c>
      <c r="L72" s="5" t="s">
        <v>129</v>
      </c>
    </row>
    <row r="73" spans="1:12">
      <c r="A73">
        <v>12</v>
      </c>
      <c r="B73" t="s">
        <v>87</v>
      </c>
      <c r="C73" t="s">
        <v>6</v>
      </c>
      <c r="D73">
        <v>63717.58</v>
      </c>
      <c r="E73" s="3">
        <v>1.41835098830939</v>
      </c>
      <c r="F73">
        <v>61287</v>
      </c>
      <c r="G73" t="s">
        <v>440</v>
      </c>
      <c r="H73" t="s">
        <v>441</v>
      </c>
      <c r="I73" t="s">
        <v>442</v>
      </c>
      <c r="J73" t="s">
        <v>443</v>
      </c>
      <c r="K73" t="s">
        <v>444</v>
      </c>
      <c r="L73" s="5" t="s">
        <v>129</v>
      </c>
    </row>
    <row r="74" spans="1:12">
      <c r="A74">
        <v>13</v>
      </c>
      <c r="B74" t="s">
        <v>89</v>
      </c>
      <c r="C74" s="2" t="s">
        <v>18</v>
      </c>
      <c r="D74" s="2">
        <v>62826.48</v>
      </c>
      <c r="E74" s="3">
        <v>0</v>
      </c>
      <c r="F74">
        <v>62222</v>
      </c>
      <c r="G74" t="s">
        <v>299</v>
      </c>
      <c r="H74" t="s">
        <v>300</v>
      </c>
      <c r="I74" t="s">
        <v>274</v>
      </c>
      <c r="J74" t="s">
        <v>274</v>
      </c>
      <c r="K74" t="s">
        <v>274</v>
      </c>
      <c r="L74" s="5" t="s">
        <v>157</v>
      </c>
    </row>
    <row r="75" spans="1:12">
      <c r="A75">
        <v>13</v>
      </c>
      <c r="B75" t="s">
        <v>89</v>
      </c>
      <c r="C75" s="2" t="s">
        <v>130</v>
      </c>
      <c r="D75" s="2">
        <v>64978.98</v>
      </c>
      <c r="E75" s="3">
        <v>3.42610313358316</v>
      </c>
      <c r="F75">
        <v>62480</v>
      </c>
      <c r="G75" t="s">
        <v>423</v>
      </c>
      <c r="H75" t="s">
        <v>445</v>
      </c>
      <c r="I75" t="s">
        <v>446</v>
      </c>
      <c r="J75" t="s">
        <v>447</v>
      </c>
      <c r="K75" t="s">
        <v>200</v>
      </c>
      <c r="L75" s="5" t="s">
        <v>129</v>
      </c>
    </row>
    <row r="76" spans="1:12">
      <c r="A76">
        <v>13</v>
      </c>
      <c r="B76" t="s">
        <v>89</v>
      </c>
      <c r="C76" s="2" t="s">
        <v>136</v>
      </c>
      <c r="D76" s="2">
        <v>64940.16</v>
      </c>
      <c r="E76" s="3">
        <v>3.36431390076286</v>
      </c>
      <c r="F76">
        <v>62485</v>
      </c>
      <c r="G76" t="s">
        <v>448</v>
      </c>
      <c r="H76" t="s">
        <v>449</v>
      </c>
      <c r="I76" t="s">
        <v>450</v>
      </c>
      <c r="J76" t="s">
        <v>451</v>
      </c>
      <c r="K76" t="s">
        <v>452</v>
      </c>
      <c r="L76" s="5" t="s">
        <v>129</v>
      </c>
    </row>
    <row r="77" spans="1:12">
      <c r="A77">
        <v>13</v>
      </c>
      <c r="B77" t="s">
        <v>89</v>
      </c>
      <c r="C77" s="2" t="s">
        <v>141</v>
      </c>
      <c r="D77" s="2">
        <v>67220.76</v>
      </c>
      <c r="E77" s="3">
        <v>6.99431195253974</v>
      </c>
      <c r="F77">
        <v>62847</v>
      </c>
      <c r="G77" t="s">
        <v>453</v>
      </c>
      <c r="H77" t="s">
        <v>454</v>
      </c>
      <c r="I77" t="s">
        <v>455</v>
      </c>
      <c r="J77" t="s">
        <v>456</v>
      </c>
      <c r="K77" t="s">
        <v>457</v>
      </c>
      <c r="L77" s="5" t="s">
        <v>129</v>
      </c>
    </row>
    <row r="78" spans="1:12">
      <c r="A78">
        <v>13</v>
      </c>
      <c r="B78" t="s">
        <v>89</v>
      </c>
      <c r="C78" s="2" t="s">
        <v>147</v>
      </c>
      <c r="D78" s="2">
        <v>65151.4</v>
      </c>
      <c r="E78" s="3">
        <v>3.70054155508951</v>
      </c>
      <c r="F78">
        <v>62491</v>
      </c>
      <c r="G78" t="s">
        <v>458</v>
      </c>
      <c r="H78" t="s">
        <v>459</v>
      </c>
      <c r="I78" t="s">
        <v>460</v>
      </c>
      <c r="J78" t="s">
        <v>461</v>
      </c>
      <c r="K78" t="s">
        <v>462</v>
      </c>
      <c r="L78" s="5" t="s">
        <v>129</v>
      </c>
    </row>
    <row r="79" spans="1:12">
      <c r="A79">
        <v>13</v>
      </c>
      <c r="B79" t="s">
        <v>89</v>
      </c>
      <c r="C79" t="s">
        <v>6</v>
      </c>
      <c r="D79">
        <v>63863.92</v>
      </c>
      <c r="E79" s="3">
        <v>1.65127825082671</v>
      </c>
      <c r="F79">
        <v>61329</v>
      </c>
      <c r="G79" t="s">
        <v>463</v>
      </c>
      <c r="H79" t="s">
        <v>464</v>
      </c>
      <c r="I79" t="s">
        <v>465</v>
      </c>
      <c r="J79" t="s">
        <v>466</v>
      </c>
      <c r="K79" t="s">
        <v>467</v>
      </c>
      <c r="L79" s="5" t="s">
        <v>129</v>
      </c>
    </row>
    <row r="80" spans="1:12">
      <c r="A80">
        <v>14</v>
      </c>
      <c r="B80" t="s">
        <v>91</v>
      </c>
      <c r="C80" s="2" t="s">
        <v>18</v>
      </c>
      <c r="D80" s="2">
        <v>63793.36</v>
      </c>
      <c r="E80" s="3">
        <v>0</v>
      </c>
      <c r="F80">
        <v>62332</v>
      </c>
      <c r="G80" t="s">
        <v>346</v>
      </c>
      <c r="H80" t="s">
        <v>347</v>
      </c>
      <c r="I80" t="s">
        <v>348</v>
      </c>
      <c r="J80" t="s">
        <v>349</v>
      </c>
      <c r="K80" t="s">
        <v>274</v>
      </c>
      <c r="L80" s="5" t="s">
        <v>157</v>
      </c>
    </row>
    <row r="81" spans="1:12">
      <c r="A81">
        <v>14</v>
      </c>
      <c r="B81" t="s">
        <v>91</v>
      </c>
      <c r="C81" s="2" t="s">
        <v>130</v>
      </c>
      <c r="D81" s="2">
        <v>64996</v>
      </c>
      <c r="E81" s="3">
        <v>1.88521187785061</v>
      </c>
      <c r="F81">
        <v>62498</v>
      </c>
      <c r="G81" t="s">
        <v>468</v>
      </c>
      <c r="H81" t="s">
        <v>469</v>
      </c>
      <c r="I81" t="s">
        <v>470</v>
      </c>
      <c r="J81" t="s">
        <v>471</v>
      </c>
      <c r="K81" t="s">
        <v>227</v>
      </c>
      <c r="L81" s="5" t="s">
        <v>129</v>
      </c>
    </row>
    <row r="82" spans="1:12">
      <c r="A82">
        <v>14</v>
      </c>
      <c r="B82" t="s">
        <v>91</v>
      </c>
      <c r="C82" s="2" t="s">
        <v>136</v>
      </c>
      <c r="D82" s="2">
        <v>64885.68</v>
      </c>
      <c r="E82" s="3">
        <v>1.71227851926909</v>
      </c>
      <c r="F82">
        <v>62434</v>
      </c>
      <c r="G82" t="s">
        <v>472</v>
      </c>
      <c r="H82" t="s">
        <v>473</v>
      </c>
      <c r="I82" t="s">
        <v>474</v>
      </c>
      <c r="J82" t="s">
        <v>475</v>
      </c>
      <c r="K82" t="s">
        <v>476</v>
      </c>
      <c r="L82" s="5" t="s">
        <v>129</v>
      </c>
    </row>
    <row r="83" spans="1:12">
      <c r="A83">
        <v>14</v>
      </c>
      <c r="B83" t="s">
        <v>91</v>
      </c>
      <c r="C83" s="2" t="s">
        <v>141</v>
      </c>
      <c r="D83" s="2">
        <v>67047.8</v>
      </c>
      <c r="E83" s="3">
        <v>5.10153407815485</v>
      </c>
      <c r="F83">
        <v>62843</v>
      </c>
      <c r="G83" t="s">
        <v>477</v>
      </c>
      <c r="H83" t="s">
        <v>478</v>
      </c>
      <c r="I83" t="s">
        <v>479</v>
      </c>
      <c r="J83" t="s">
        <v>480</v>
      </c>
      <c r="K83" t="s">
        <v>481</v>
      </c>
      <c r="L83" s="5" t="s">
        <v>129</v>
      </c>
    </row>
    <row r="84" spans="1:12">
      <c r="A84">
        <v>14</v>
      </c>
      <c r="B84" t="s">
        <v>91</v>
      </c>
      <c r="C84" s="2" t="s">
        <v>147</v>
      </c>
      <c r="D84" s="2">
        <v>64974.82</v>
      </c>
      <c r="E84" s="3">
        <v>1.85201093029118</v>
      </c>
      <c r="F84">
        <v>62491</v>
      </c>
      <c r="G84" t="s">
        <v>482</v>
      </c>
      <c r="H84" t="s">
        <v>483</v>
      </c>
      <c r="I84" t="s">
        <v>237</v>
      </c>
      <c r="J84" t="s">
        <v>225</v>
      </c>
      <c r="K84" t="s">
        <v>484</v>
      </c>
      <c r="L84" s="5" t="s">
        <v>129</v>
      </c>
    </row>
    <row r="85" spans="1:12">
      <c r="A85">
        <v>14</v>
      </c>
      <c r="B85" t="s">
        <v>91</v>
      </c>
      <c r="C85" t="s">
        <v>6</v>
      </c>
      <c r="D85">
        <v>64001.76</v>
      </c>
      <c r="E85" s="3">
        <v>0.326679767298668</v>
      </c>
      <c r="F85">
        <v>61561</v>
      </c>
      <c r="G85" t="s">
        <v>485</v>
      </c>
      <c r="H85" t="s">
        <v>486</v>
      </c>
      <c r="I85" t="s">
        <v>487</v>
      </c>
      <c r="J85" t="s">
        <v>488</v>
      </c>
      <c r="K85" t="s">
        <v>489</v>
      </c>
      <c r="L85" s="5" t="s">
        <v>129</v>
      </c>
    </row>
    <row r="86" spans="1:12">
      <c r="A86">
        <v>15</v>
      </c>
      <c r="B86" t="s">
        <v>93</v>
      </c>
      <c r="C86" s="2" t="s">
        <v>18</v>
      </c>
      <c r="D86" s="2">
        <v>64262.68</v>
      </c>
      <c r="E86" s="3">
        <v>0.0948883644311281</v>
      </c>
      <c r="F86">
        <v>62323</v>
      </c>
      <c r="G86" t="s">
        <v>372</v>
      </c>
      <c r="H86" t="s">
        <v>373</v>
      </c>
      <c r="I86" t="s">
        <v>374</v>
      </c>
      <c r="J86" t="s">
        <v>375</v>
      </c>
      <c r="K86" t="s">
        <v>274</v>
      </c>
      <c r="L86" s="5" t="s">
        <v>129</v>
      </c>
    </row>
    <row r="87" spans="1:12">
      <c r="A87">
        <v>15</v>
      </c>
      <c r="B87" t="s">
        <v>93</v>
      </c>
      <c r="C87" s="2" t="s">
        <v>130</v>
      </c>
      <c r="D87" s="2">
        <v>65119.1</v>
      </c>
      <c r="E87" s="3">
        <v>1.42883933399956</v>
      </c>
      <c r="F87">
        <v>62582</v>
      </c>
      <c r="G87" t="s">
        <v>490</v>
      </c>
      <c r="H87" t="s">
        <v>491</v>
      </c>
      <c r="I87" t="s">
        <v>492</v>
      </c>
      <c r="J87" t="s">
        <v>493</v>
      </c>
      <c r="K87" t="s">
        <v>494</v>
      </c>
      <c r="L87" s="5" t="s">
        <v>129</v>
      </c>
    </row>
    <row r="88" spans="1:12">
      <c r="A88">
        <v>15</v>
      </c>
      <c r="B88" t="s">
        <v>93</v>
      </c>
      <c r="C88" s="2" t="s">
        <v>136</v>
      </c>
      <c r="D88" s="2">
        <v>65096.36</v>
      </c>
      <c r="E88" s="3">
        <v>1.39341974425623</v>
      </c>
      <c r="F88">
        <v>62586</v>
      </c>
      <c r="G88" t="s">
        <v>495</v>
      </c>
      <c r="H88" t="s">
        <v>496</v>
      </c>
      <c r="I88" t="s">
        <v>497</v>
      </c>
      <c r="J88" t="s">
        <v>498</v>
      </c>
      <c r="K88" t="s">
        <v>499</v>
      </c>
      <c r="L88" s="5" t="s">
        <v>129</v>
      </c>
    </row>
    <row r="89" spans="1:12">
      <c r="A89">
        <v>15</v>
      </c>
      <c r="B89" t="s">
        <v>93</v>
      </c>
      <c r="C89" s="2" t="s">
        <v>141</v>
      </c>
      <c r="D89" s="2">
        <v>67889.6</v>
      </c>
      <c r="E89" s="3">
        <v>5.7441415936261</v>
      </c>
      <c r="F89">
        <v>62609</v>
      </c>
      <c r="G89" t="s">
        <v>500</v>
      </c>
      <c r="H89" t="s">
        <v>501</v>
      </c>
      <c r="I89" t="s">
        <v>502</v>
      </c>
      <c r="J89" t="s">
        <v>503</v>
      </c>
      <c r="K89" t="s">
        <v>504</v>
      </c>
      <c r="L89" s="5" t="s">
        <v>129</v>
      </c>
    </row>
    <row r="90" spans="1:12">
      <c r="A90">
        <v>15</v>
      </c>
      <c r="B90" t="s">
        <v>93</v>
      </c>
      <c r="C90" s="2" t="s">
        <v>147</v>
      </c>
      <c r="D90" s="2">
        <v>65431.66</v>
      </c>
      <c r="E90" s="3">
        <v>1.91567957015509</v>
      </c>
      <c r="F90">
        <v>62477</v>
      </c>
      <c r="G90" t="s">
        <v>505</v>
      </c>
      <c r="H90" t="s">
        <v>506</v>
      </c>
      <c r="I90" t="s">
        <v>507</v>
      </c>
      <c r="J90" t="s">
        <v>508</v>
      </c>
      <c r="K90" t="s">
        <v>509</v>
      </c>
      <c r="L90" s="5" t="s">
        <v>129</v>
      </c>
    </row>
    <row r="91" spans="1:12">
      <c r="A91">
        <v>15</v>
      </c>
      <c r="B91" t="s">
        <v>93</v>
      </c>
      <c r="C91" t="s">
        <v>6</v>
      </c>
      <c r="D91">
        <v>64201.76</v>
      </c>
      <c r="E91" s="3">
        <v>0</v>
      </c>
      <c r="F91">
        <v>61425</v>
      </c>
      <c r="G91" t="s">
        <v>510</v>
      </c>
      <c r="H91" t="s">
        <v>511</v>
      </c>
      <c r="I91" t="s">
        <v>512</v>
      </c>
      <c r="J91" t="s">
        <v>513</v>
      </c>
      <c r="K91" t="s">
        <v>514</v>
      </c>
      <c r="L91" s="5" t="s">
        <v>157</v>
      </c>
    </row>
    <row r="92" spans="1:12">
      <c r="A92">
        <v>16</v>
      </c>
      <c r="B92" t="s">
        <v>95</v>
      </c>
      <c r="C92" s="2" t="s">
        <v>18</v>
      </c>
      <c r="D92" s="2">
        <v>62189</v>
      </c>
      <c r="E92" s="3">
        <v>0</v>
      </c>
      <c r="F92">
        <v>62189</v>
      </c>
      <c r="G92" t="s">
        <v>273</v>
      </c>
      <c r="H92" t="s">
        <v>274</v>
      </c>
      <c r="I92" t="s">
        <v>274</v>
      </c>
      <c r="J92" t="s">
        <v>274</v>
      </c>
      <c r="K92" t="s">
        <v>274</v>
      </c>
      <c r="L92" s="5" t="s">
        <v>157</v>
      </c>
    </row>
    <row r="93" spans="1:12">
      <c r="A93">
        <v>16</v>
      </c>
      <c r="B93" t="s">
        <v>95</v>
      </c>
      <c r="C93" s="2" t="s">
        <v>130</v>
      </c>
      <c r="D93" s="2">
        <v>68733.75</v>
      </c>
      <c r="E93" s="3">
        <v>10.5239672610912</v>
      </c>
      <c r="F93">
        <v>62485</v>
      </c>
      <c r="G93" t="s">
        <v>515</v>
      </c>
      <c r="H93" t="s">
        <v>516</v>
      </c>
      <c r="I93" t="s">
        <v>138</v>
      </c>
      <c r="J93" t="s">
        <v>140</v>
      </c>
      <c r="K93" t="s">
        <v>134</v>
      </c>
      <c r="L93" s="5" t="s">
        <v>129</v>
      </c>
    </row>
    <row r="94" spans="1:12">
      <c r="A94">
        <v>16</v>
      </c>
      <c r="B94" t="s">
        <v>95</v>
      </c>
      <c r="C94" s="2" t="s">
        <v>136</v>
      </c>
      <c r="D94" s="2">
        <v>68439.05</v>
      </c>
      <c r="E94" s="3">
        <v>10.0500892440785</v>
      </c>
      <c r="F94">
        <v>62465</v>
      </c>
      <c r="G94" t="s">
        <v>517</v>
      </c>
      <c r="H94" t="s">
        <v>518</v>
      </c>
      <c r="I94" t="s">
        <v>519</v>
      </c>
      <c r="J94" t="s">
        <v>520</v>
      </c>
      <c r="K94" t="s">
        <v>521</v>
      </c>
      <c r="L94" s="5" t="s">
        <v>129</v>
      </c>
    </row>
    <row r="95" spans="1:12">
      <c r="A95">
        <v>16</v>
      </c>
      <c r="B95" t="s">
        <v>95</v>
      </c>
      <c r="C95" s="2" t="s">
        <v>141</v>
      </c>
      <c r="D95" s="2">
        <v>73277.5</v>
      </c>
      <c r="E95" s="3">
        <v>17.8303236906848</v>
      </c>
      <c r="F95">
        <v>62788</v>
      </c>
      <c r="G95" t="s">
        <v>522</v>
      </c>
      <c r="H95" t="s">
        <v>523</v>
      </c>
      <c r="I95" t="s">
        <v>138</v>
      </c>
      <c r="J95" t="s">
        <v>524</v>
      </c>
      <c r="K95" t="s">
        <v>525</v>
      </c>
      <c r="L95" s="5" t="s">
        <v>129</v>
      </c>
    </row>
    <row r="96" spans="1:12">
      <c r="A96">
        <v>16</v>
      </c>
      <c r="B96" t="s">
        <v>95</v>
      </c>
      <c r="C96" s="2" t="s">
        <v>147</v>
      </c>
      <c r="D96" s="2">
        <v>67820.95</v>
      </c>
      <c r="E96" s="3">
        <v>9.05618356944154</v>
      </c>
      <c r="F96">
        <v>62464</v>
      </c>
      <c r="G96" t="s">
        <v>526</v>
      </c>
      <c r="H96" t="s">
        <v>527</v>
      </c>
      <c r="I96" t="s">
        <v>528</v>
      </c>
      <c r="J96" t="s">
        <v>529</v>
      </c>
      <c r="K96" t="s">
        <v>530</v>
      </c>
      <c r="L96" s="5" t="s">
        <v>129</v>
      </c>
    </row>
    <row r="97" spans="1:12">
      <c r="A97">
        <v>16</v>
      </c>
      <c r="B97" t="s">
        <v>95</v>
      </c>
      <c r="C97" t="s">
        <v>6</v>
      </c>
      <c r="D97">
        <v>67430</v>
      </c>
      <c r="E97" s="3">
        <v>8.42753541623117</v>
      </c>
      <c r="F97">
        <v>61348</v>
      </c>
      <c r="G97" t="s">
        <v>531</v>
      </c>
      <c r="H97" t="s">
        <v>532</v>
      </c>
      <c r="I97" t="s">
        <v>533</v>
      </c>
      <c r="J97" t="s">
        <v>533</v>
      </c>
      <c r="K97" t="s">
        <v>411</v>
      </c>
      <c r="L97" s="5" t="s">
        <v>129</v>
      </c>
    </row>
    <row r="98" spans="1:12">
      <c r="A98">
        <v>17</v>
      </c>
      <c r="B98" t="s">
        <v>97</v>
      </c>
      <c r="C98" s="2" t="s">
        <v>18</v>
      </c>
      <c r="D98" s="2">
        <v>63733.2</v>
      </c>
      <c r="E98" s="3">
        <v>0</v>
      </c>
      <c r="F98">
        <v>62222</v>
      </c>
      <c r="G98" t="s">
        <v>299</v>
      </c>
      <c r="H98" t="s">
        <v>300</v>
      </c>
      <c r="I98" t="s">
        <v>274</v>
      </c>
      <c r="J98" t="s">
        <v>274</v>
      </c>
      <c r="K98" t="s">
        <v>274</v>
      </c>
      <c r="L98" s="5" t="s">
        <v>157</v>
      </c>
    </row>
    <row r="99" spans="1:12">
      <c r="A99">
        <v>17</v>
      </c>
      <c r="B99" t="s">
        <v>97</v>
      </c>
      <c r="C99" s="2" t="s">
        <v>130</v>
      </c>
      <c r="D99" s="2">
        <v>68739.2</v>
      </c>
      <c r="E99" s="3">
        <v>7.85461894271745</v>
      </c>
      <c r="F99">
        <v>62487</v>
      </c>
      <c r="G99" t="s">
        <v>165</v>
      </c>
      <c r="H99" t="s">
        <v>534</v>
      </c>
      <c r="I99" t="s">
        <v>535</v>
      </c>
      <c r="J99" t="s">
        <v>445</v>
      </c>
      <c r="K99" t="s">
        <v>424</v>
      </c>
      <c r="L99" s="5" t="s">
        <v>129</v>
      </c>
    </row>
    <row r="100" spans="1:12">
      <c r="A100">
        <v>17</v>
      </c>
      <c r="B100" t="s">
        <v>97</v>
      </c>
      <c r="C100" s="2" t="s">
        <v>136</v>
      </c>
      <c r="D100" s="2">
        <v>68450.3</v>
      </c>
      <c r="E100" s="3">
        <v>7.40132301532013</v>
      </c>
      <c r="F100">
        <v>62476</v>
      </c>
      <c r="G100" t="s">
        <v>536</v>
      </c>
      <c r="H100" t="s">
        <v>537</v>
      </c>
      <c r="I100" t="s">
        <v>311</v>
      </c>
      <c r="J100" t="s">
        <v>538</v>
      </c>
      <c r="K100" t="s">
        <v>539</v>
      </c>
      <c r="L100" s="5" t="s">
        <v>129</v>
      </c>
    </row>
    <row r="101" spans="1:12">
      <c r="A101">
        <v>17</v>
      </c>
      <c r="B101" t="s">
        <v>97</v>
      </c>
      <c r="C101" s="2" t="s">
        <v>141</v>
      </c>
      <c r="D101" s="2">
        <v>71580</v>
      </c>
      <c r="E101" s="3">
        <v>12.311950443411</v>
      </c>
      <c r="F101">
        <v>62783</v>
      </c>
      <c r="G101" t="s">
        <v>540</v>
      </c>
      <c r="H101" t="s">
        <v>541</v>
      </c>
      <c r="I101" t="s">
        <v>301</v>
      </c>
      <c r="J101" t="s">
        <v>542</v>
      </c>
      <c r="K101" t="s">
        <v>543</v>
      </c>
      <c r="L101" s="5" t="s">
        <v>129</v>
      </c>
    </row>
    <row r="102" spans="1:12">
      <c r="A102">
        <v>17</v>
      </c>
      <c r="B102" t="s">
        <v>97</v>
      </c>
      <c r="C102" s="2" t="s">
        <v>147</v>
      </c>
      <c r="D102" s="2">
        <v>68464.3</v>
      </c>
      <c r="E102" s="3">
        <v>7.42328958847195</v>
      </c>
      <c r="F102">
        <v>62447</v>
      </c>
      <c r="G102" t="s">
        <v>544</v>
      </c>
      <c r="H102" t="s">
        <v>545</v>
      </c>
      <c r="I102" t="s">
        <v>546</v>
      </c>
      <c r="J102" t="s">
        <v>547</v>
      </c>
      <c r="K102" t="s">
        <v>548</v>
      </c>
      <c r="L102" s="5" t="s">
        <v>129</v>
      </c>
    </row>
    <row r="103" spans="1:12">
      <c r="A103">
        <v>17</v>
      </c>
      <c r="B103" t="s">
        <v>97</v>
      </c>
      <c r="C103" t="s">
        <v>6</v>
      </c>
      <c r="D103">
        <v>67374</v>
      </c>
      <c r="E103" s="3">
        <v>5.71256425222647</v>
      </c>
      <c r="F103">
        <v>61298</v>
      </c>
      <c r="G103" t="s">
        <v>549</v>
      </c>
      <c r="H103" t="s">
        <v>550</v>
      </c>
      <c r="I103" t="s">
        <v>551</v>
      </c>
      <c r="J103" t="s">
        <v>552</v>
      </c>
      <c r="K103" t="s">
        <v>553</v>
      </c>
      <c r="L103" s="5" t="s">
        <v>129</v>
      </c>
    </row>
    <row r="104" spans="1:12">
      <c r="A104">
        <v>18</v>
      </c>
      <c r="B104" t="s">
        <v>99</v>
      </c>
      <c r="C104" s="2" t="s">
        <v>18</v>
      </c>
      <c r="D104" s="2">
        <v>63733.2</v>
      </c>
      <c r="E104" s="3">
        <v>0</v>
      </c>
      <c r="F104">
        <v>62222</v>
      </c>
      <c r="G104" t="s">
        <v>299</v>
      </c>
      <c r="H104" t="s">
        <v>300</v>
      </c>
      <c r="I104" t="s">
        <v>274</v>
      </c>
      <c r="J104" t="s">
        <v>274</v>
      </c>
      <c r="K104" t="s">
        <v>274</v>
      </c>
      <c r="L104" s="5" t="s">
        <v>157</v>
      </c>
    </row>
    <row r="105" spans="1:12">
      <c r="A105">
        <v>18</v>
      </c>
      <c r="B105" t="s">
        <v>99</v>
      </c>
      <c r="C105" s="2" t="s">
        <v>130</v>
      </c>
      <c r="D105" s="2">
        <v>68749.7</v>
      </c>
      <c r="E105" s="3">
        <v>7.87109387258132</v>
      </c>
      <c r="F105">
        <v>62498</v>
      </c>
      <c r="G105" t="s">
        <v>323</v>
      </c>
      <c r="H105" t="s">
        <v>170</v>
      </c>
      <c r="I105" t="s">
        <v>554</v>
      </c>
      <c r="J105" t="s">
        <v>555</v>
      </c>
      <c r="K105" t="s">
        <v>556</v>
      </c>
      <c r="L105" s="5" t="s">
        <v>129</v>
      </c>
    </row>
    <row r="106" spans="1:12">
      <c r="A106">
        <v>18</v>
      </c>
      <c r="B106" t="s">
        <v>99</v>
      </c>
      <c r="C106" s="2" t="s">
        <v>136</v>
      </c>
      <c r="D106" s="2">
        <v>68472.35</v>
      </c>
      <c r="E106" s="3">
        <v>7.43592036803426</v>
      </c>
      <c r="F106">
        <v>62493</v>
      </c>
      <c r="G106" t="s">
        <v>557</v>
      </c>
      <c r="H106" t="s">
        <v>558</v>
      </c>
      <c r="I106" t="s">
        <v>559</v>
      </c>
      <c r="J106" t="s">
        <v>560</v>
      </c>
      <c r="K106" t="s">
        <v>561</v>
      </c>
      <c r="L106" s="5" t="s">
        <v>129</v>
      </c>
    </row>
    <row r="107" spans="1:12">
      <c r="A107">
        <v>18</v>
      </c>
      <c r="B107" t="s">
        <v>99</v>
      </c>
      <c r="C107" s="2" t="s">
        <v>141</v>
      </c>
      <c r="D107" s="2">
        <v>71382.1</v>
      </c>
      <c r="E107" s="3">
        <v>12.0014372415005</v>
      </c>
      <c r="F107">
        <v>62771</v>
      </c>
      <c r="G107" t="s">
        <v>562</v>
      </c>
      <c r="H107" t="s">
        <v>563</v>
      </c>
      <c r="I107" t="s">
        <v>564</v>
      </c>
      <c r="J107" t="s">
        <v>565</v>
      </c>
      <c r="K107" t="s">
        <v>566</v>
      </c>
      <c r="L107" s="5" t="s">
        <v>129</v>
      </c>
    </row>
    <row r="108" spans="1:12">
      <c r="A108">
        <v>18</v>
      </c>
      <c r="B108" t="s">
        <v>99</v>
      </c>
      <c r="C108" s="2" t="s">
        <v>147</v>
      </c>
      <c r="D108" s="2">
        <v>68912.25</v>
      </c>
      <c r="E108" s="3">
        <v>8.12614147728343</v>
      </c>
      <c r="F108">
        <v>62416</v>
      </c>
      <c r="G108" t="s">
        <v>567</v>
      </c>
      <c r="H108" t="s">
        <v>568</v>
      </c>
      <c r="I108" t="s">
        <v>569</v>
      </c>
      <c r="J108" t="s">
        <v>570</v>
      </c>
      <c r="K108" t="s">
        <v>571</v>
      </c>
      <c r="L108" s="5" t="s">
        <v>129</v>
      </c>
    </row>
    <row r="109" spans="1:12">
      <c r="A109">
        <v>18</v>
      </c>
      <c r="B109" t="s">
        <v>99</v>
      </c>
      <c r="C109" t="s">
        <v>6</v>
      </c>
      <c r="D109">
        <v>67711.65</v>
      </c>
      <c r="E109" s="3">
        <v>6.24235092542034</v>
      </c>
      <c r="F109">
        <v>61373</v>
      </c>
      <c r="G109" t="s">
        <v>572</v>
      </c>
      <c r="H109" t="s">
        <v>573</v>
      </c>
      <c r="I109" t="s">
        <v>574</v>
      </c>
      <c r="J109" t="s">
        <v>575</v>
      </c>
      <c r="K109" t="s">
        <v>576</v>
      </c>
      <c r="L109" s="5" t="s">
        <v>129</v>
      </c>
    </row>
    <row r="110" spans="1:12">
      <c r="A110">
        <v>19</v>
      </c>
      <c r="B110" t="s">
        <v>101</v>
      </c>
      <c r="C110" s="2" t="s">
        <v>18</v>
      </c>
      <c r="D110" s="2">
        <v>65985.4</v>
      </c>
      <c r="E110" s="3">
        <v>0</v>
      </c>
      <c r="F110">
        <v>62332</v>
      </c>
      <c r="G110" t="s">
        <v>346</v>
      </c>
      <c r="H110" t="s">
        <v>347</v>
      </c>
      <c r="I110" t="s">
        <v>348</v>
      </c>
      <c r="J110" t="s">
        <v>349</v>
      </c>
      <c r="K110" t="s">
        <v>274</v>
      </c>
      <c r="L110" s="5" t="s">
        <v>157</v>
      </c>
    </row>
    <row r="111" spans="1:12">
      <c r="A111">
        <v>19</v>
      </c>
      <c r="B111" t="s">
        <v>101</v>
      </c>
      <c r="C111" s="2" t="s">
        <v>130</v>
      </c>
      <c r="D111" s="2">
        <v>68736.05</v>
      </c>
      <c r="E111" s="3">
        <v>4.168573654172</v>
      </c>
      <c r="F111">
        <v>62484</v>
      </c>
      <c r="G111" t="s">
        <v>224</v>
      </c>
      <c r="H111" t="s">
        <v>364</v>
      </c>
      <c r="I111" t="s">
        <v>577</v>
      </c>
      <c r="J111" t="s">
        <v>578</v>
      </c>
      <c r="K111" t="s">
        <v>351</v>
      </c>
      <c r="L111" s="5" t="s">
        <v>129</v>
      </c>
    </row>
    <row r="112" spans="1:12">
      <c r="A112">
        <v>19</v>
      </c>
      <c r="B112" t="s">
        <v>101</v>
      </c>
      <c r="C112" s="2" t="s">
        <v>136</v>
      </c>
      <c r="D112" s="2">
        <v>68444.05</v>
      </c>
      <c r="E112" s="3">
        <v>3.72605152048788</v>
      </c>
      <c r="F112">
        <v>62468</v>
      </c>
      <c r="G112" t="s">
        <v>579</v>
      </c>
      <c r="H112" t="s">
        <v>580</v>
      </c>
      <c r="I112" t="s">
        <v>361</v>
      </c>
      <c r="J112" t="s">
        <v>581</v>
      </c>
      <c r="K112" t="s">
        <v>582</v>
      </c>
      <c r="L112" s="5" t="s">
        <v>129</v>
      </c>
    </row>
    <row r="113" spans="1:12">
      <c r="A113">
        <v>19</v>
      </c>
      <c r="B113" t="s">
        <v>101</v>
      </c>
      <c r="C113" s="2" t="s">
        <v>141</v>
      </c>
      <c r="D113" s="2">
        <v>71037.25</v>
      </c>
      <c r="E113" s="3">
        <v>7.65601178442505</v>
      </c>
      <c r="F113">
        <v>62804</v>
      </c>
      <c r="G113" t="s">
        <v>583</v>
      </c>
      <c r="H113" t="s">
        <v>584</v>
      </c>
      <c r="I113" t="s">
        <v>474</v>
      </c>
      <c r="J113" t="s">
        <v>585</v>
      </c>
      <c r="K113" t="s">
        <v>586</v>
      </c>
      <c r="L113" s="5" t="s">
        <v>129</v>
      </c>
    </row>
    <row r="114" spans="1:12">
      <c r="A114">
        <v>19</v>
      </c>
      <c r="B114" t="s">
        <v>101</v>
      </c>
      <c r="C114" s="2" t="s">
        <v>147</v>
      </c>
      <c r="D114" s="2">
        <v>68640.75</v>
      </c>
      <c r="E114" s="3">
        <v>4.02414776602098</v>
      </c>
      <c r="F114">
        <v>62474</v>
      </c>
      <c r="G114" t="s">
        <v>587</v>
      </c>
      <c r="H114" t="s">
        <v>588</v>
      </c>
      <c r="I114" t="s">
        <v>589</v>
      </c>
      <c r="J114" t="s">
        <v>590</v>
      </c>
      <c r="K114" t="s">
        <v>371</v>
      </c>
      <c r="L114" s="5" t="s">
        <v>129</v>
      </c>
    </row>
    <row r="115" spans="1:12">
      <c r="A115">
        <v>19</v>
      </c>
      <c r="B115" t="s">
        <v>101</v>
      </c>
      <c r="C115" t="s">
        <v>6</v>
      </c>
      <c r="D115">
        <v>67661.7</v>
      </c>
      <c r="E115" s="3">
        <v>2.54041045443386</v>
      </c>
      <c r="F115">
        <v>61562</v>
      </c>
      <c r="G115" t="s">
        <v>591</v>
      </c>
      <c r="H115" t="s">
        <v>592</v>
      </c>
      <c r="I115" t="s">
        <v>593</v>
      </c>
      <c r="J115" t="s">
        <v>488</v>
      </c>
      <c r="K115" t="s">
        <v>594</v>
      </c>
      <c r="L115" s="5" t="s">
        <v>129</v>
      </c>
    </row>
    <row r="116" spans="1:12">
      <c r="A116">
        <v>20</v>
      </c>
      <c r="B116" t="s">
        <v>103</v>
      </c>
      <c r="C116" s="2" t="s">
        <v>18</v>
      </c>
      <c r="D116" s="2">
        <v>67172.2</v>
      </c>
      <c r="E116" s="3">
        <v>0</v>
      </c>
      <c r="F116">
        <v>62323</v>
      </c>
      <c r="G116" t="s">
        <v>372</v>
      </c>
      <c r="H116" t="s">
        <v>373</v>
      </c>
      <c r="I116" t="s">
        <v>374</v>
      </c>
      <c r="J116" t="s">
        <v>375</v>
      </c>
      <c r="K116" t="s">
        <v>274</v>
      </c>
      <c r="L116" s="5" t="s">
        <v>157</v>
      </c>
    </row>
    <row r="117" spans="1:12">
      <c r="A117">
        <v>20</v>
      </c>
      <c r="B117" t="s">
        <v>103</v>
      </c>
      <c r="C117" s="2" t="s">
        <v>130</v>
      </c>
      <c r="D117" s="2">
        <v>68909.05</v>
      </c>
      <c r="E117" s="3">
        <v>2.58566788046246</v>
      </c>
      <c r="F117">
        <v>62569</v>
      </c>
      <c r="G117" t="s">
        <v>595</v>
      </c>
      <c r="H117" t="s">
        <v>596</v>
      </c>
      <c r="I117" t="s">
        <v>597</v>
      </c>
      <c r="J117" t="s">
        <v>598</v>
      </c>
      <c r="K117" t="s">
        <v>599</v>
      </c>
      <c r="L117" s="5" t="s">
        <v>129</v>
      </c>
    </row>
    <row r="118" spans="1:12">
      <c r="A118">
        <v>20</v>
      </c>
      <c r="B118" t="s">
        <v>103</v>
      </c>
      <c r="C118" s="2" t="s">
        <v>136</v>
      </c>
      <c r="D118" s="2">
        <v>68668.1</v>
      </c>
      <c r="E118" s="3">
        <v>2.2269629400258</v>
      </c>
      <c r="F118">
        <v>62490</v>
      </c>
      <c r="G118" t="s">
        <v>600</v>
      </c>
      <c r="H118" t="s">
        <v>601</v>
      </c>
      <c r="I118" t="s">
        <v>602</v>
      </c>
      <c r="J118" t="s">
        <v>603</v>
      </c>
      <c r="K118" t="s">
        <v>604</v>
      </c>
      <c r="L118" s="5" t="s">
        <v>129</v>
      </c>
    </row>
    <row r="119" spans="1:12">
      <c r="A119">
        <v>20</v>
      </c>
      <c r="B119" t="s">
        <v>103</v>
      </c>
      <c r="C119" s="2" t="s">
        <v>141</v>
      </c>
      <c r="D119" s="2">
        <v>71584.3</v>
      </c>
      <c r="E119" s="3">
        <v>6.5683422606376</v>
      </c>
      <c r="F119">
        <v>62676</v>
      </c>
      <c r="G119" t="s">
        <v>605</v>
      </c>
      <c r="H119" t="s">
        <v>606</v>
      </c>
      <c r="I119" t="s">
        <v>607</v>
      </c>
      <c r="J119" t="s">
        <v>608</v>
      </c>
      <c r="K119" t="s">
        <v>609</v>
      </c>
      <c r="L119" s="5" t="s">
        <v>129</v>
      </c>
    </row>
    <row r="120" spans="1:12">
      <c r="A120">
        <v>20</v>
      </c>
      <c r="B120" t="s">
        <v>103</v>
      </c>
      <c r="C120" s="2" t="s">
        <v>147</v>
      </c>
      <c r="D120" s="2">
        <v>69880.65</v>
      </c>
      <c r="E120" s="3">
        <v>4.03209958881799</v>
      </c>
      <c r="F120">
        <v>62535</v>
      </c>
      <c r="G120" t="s">
        <v>610</v>
      </c>
      <c r="H120" t="s">
        <v>611</v>
      </c>
      <c r="I120" t="s">
        <v>612</v>
      </c>
      <c r="J120" t="s">
        <v>613</v>
      </c>
      <c r="K120" t="s">
        <v>614</v>
      </c>
      <c r="L120" s="5" t="s">
        <v>129</v>
      </c>
    </row>
    <row r="121" spans="1:12">
      <c r="A121">
        <v>20</v>
      </c>
      <c r="B121" t="s">
        <v>103</v>
      </c>
      <c r="C121" t="s">
        <v>6</v>
      </c>
      <c r="D121">
        <v>68412.35</v>
      </c>
      <c r="E121" s="3">
        <v>1.84622507525436</v>
      </c>
      <c r="F121">
        <v>61462</v>
      </c>
      <c r="G121" t="s">
        <v>615</v>
      </c>
      <c r="H121" t="s">
        <v>616</v>
      </c>
      <c r="I121" t="s">
        <v>617</v>
      </c>
      <c r="J121" t="s">
        <v>513</v>
      </c>
      <c r="K121" t="s">
        <v>618</v>
      </c>
      <c r="L121" s="5" t="s">
        <v>129</v>
      </c>
    </row>
    <row r="122" spans="1:12">
      <c r="A122">
        <v>21</v>
      </c>
      <c r="B122" t="s">
        <v>105</v>
      </c>
      <c r="C122" s="2" t="s">
        <v>18</v>
      </c>
      <c r="D122" s="2">
        <v>62189</v>
      </c>
      <c r="E122" s="3">
        <v>0</v>
      </c>
      <c r="F122">
        <v>62189</v>
      </c>
      <c r="G122" t="s">
        <v>273</v>
      </c>
      <c r="H122" t="s">
        <v>274</v>
      </c>
      <c r="I122" t="s">
        <v>274</v>
      </c>
      <c r="J122" t="s">
        <v>274</v>
      </c>
      <c r="K122" t="s">
        <v>274</v>
      </c>
      <c r="L122" s="5" t="s">
        <v>157</v>
      </c>
    </row>
    <row r="123" spans="1:12">
      <c r="A123">
        <v>21</v>
      </c>
      <c r="B123" t="s">
        <v>105</v>
      </c>
      <c r="C123" s="2" t="s">
        <v>130</v>
      </c>
      <c r="D123" s="2">
        <v>74999.2</v>
      </c>
      <c r="E123" s="3">
        <v>20.5988197269613</v>
      </c>
      <c r="F123">
        <v>62492</v>
      </c>
      <c r="G123" t="s">
        <v>277</v>
      </c>
      <c r="H123" t="s">
        <v>619</v>
      </c>
      <c r="I123" t="s">
        <v>137</v>
      </c>
      <c r="J123" t="s">
        <v>620</v>
      </c>
      <c r="K123" t="s">
        <v>621</v>
      </c>
      <c r="L123" s="5" t="s">
        <v>129</v>
      </c>
    </row>
    <row r="124" spans="1:12">
      <c r="A124">
        <v>21</v>
      </c>
      <c r="B124" t="s">
        <v>105</v>
      </c>
      <c r="C124" s="2" t="s">
        <v>136</v>
      </c>
      <c r="D124" s="2">
        <v>73915.7</v>
      </c>
      <c r="E124" s="3">
        <v>18.8565501937642</v>
      </c>
      <c r="F124">
        <v>62432</v>
      </c>
      <c r="G124" t="s">
        <v>622</v>
      </c>
      <c r="H124" t="s">
        <v>623</v>
      </c>
      <c r="I124" t="s">
        <v>624</v>
      </c>
      <c r="J124" t="s">
        <v>625</v>
      </c>
      <c r="K124" t="s">
        <v>626</v>
      </c>
      <c r="L124" s="5" t="s">
        <v>129</v>
      </c>
    </row>
    <row r="125" spans="1:12">
      <c r="A125">
        <v>21</v>
      </c>
      <c r="B125" t="s">
        <v>105</v>
      </c>
      <c r="C125" s="2" t="s">
        <v>141</v>
      </c>
      <c r="D125" s="2">
        <v>80020.2</v>
      </c>
      <c r="E125" s="3">
        <v>28.6725948318835</v>
      </c>
      <c r="F125">
        <v>62861</v>
      </c>
      <c r="G125" t="s">
        <v>627</v>
      </c>
      <c r="H125" t="s">
        <v>628</v>
      </c>
      <c r="I125" t="s">
        <v>629</v>
      </c>
      <c r="J125" t="s">
        <v>630</v>
      </c>
      <c r="K125" t="s">
        <v>631</v>
      </c>
      <c r="L125" s="5" t="s">
        <v>129</v>
      </c>
    </row>
    <row r="126" spans="1:12">
      <c r="A126">
        <v>21</v>
      </c>
      <c r="B126" t="s">
        <v>105</v>
      </c>
      <c r="C126" s="2" t="s">
        <v>147</v>
      </c>
      <c r="D126" s="2">
        <v>71798.4</v>
      </c>
      <c r="E126" s="3">
        <v>15.4519287976973</v>
      </c>
      <c r="F126">
        <v>62546</v>
      </c>
      <c r="G126" t="s">
        <v>632</v>
      </c>
      <c r="H126" t="s">
        <v>633</v>
      </c>
      <c r="I126" t="s">
        <v>634</v>
      </c>
      <c r="J126" t="s">
        <v>635</v>
      </c>
      <c r="K126" t="s">
        <v>636</v>
      </c>
      <c r="L126" s="5" t="s">
        <v>129</v>
      </c>
    </row>
    <row r="127" spans="1:12">
      <c r="A127">
        <v>21</v>
      </c>
      <c r="B127" t="s">
        <v>105</v>
      </c>
      <c r="C127" t="s">
        <v>6</v>
      </c>
      <c r="D127">
        <v>73493.6</v>
      </c>
      <c r="E127" s="3">
        <v>18.1778127964753</v>
      </c>
      <c r="F127">
        <v>61333</v>
      </c>
      <c r="G127" t="s">
        <v>637</v>
      </c>
      <c r="H127" t="s">
        <v>638</v>
      </c>
      <c r="I127" t="s">
        <v>639</v>
      </c>
      <c r="J127" t="s">
        <v>421</v>
      </c>
      <c r="K127" t="s">
        <v>640</v>
      </c>
      <c r="L127" s="5" t="s">
        <v>129</v>
      </c>
    </row>
    <row r="128" spans="1:12">
      <c r="A128">
        <v>22</v>
      </c>
      <c r="B128" t="s">
        <v>107</v>
      </c>
      <c r="C128" s="2" t="s">
        <v>18</v>
      </c>
      <c r="D128" s="2">
        <v>65244.4</v>
      </c>
      <c r="E128" s="3">
        <v>0</v>
      </c>
      <c r="F128">
        <v>62222</v>
      </c>
      <c r="G128" t="s">
        <v>299</v>
      </c>
      <c r="H128" t="s">
        <v>300</v>
      </c>
      <c r="I128" t="s">
        <v>274</v>
      </c>
      <c r="J128" t="s">
        <v>274</v>
      </c>
      <c r="K128" t="s">
        <v>274</v>
      </c>
      <c r="L128" s="5" t="s">
        <v>157</v>
      </c>
    </row>
    <row r="129" spans="1:12">
      <c r="A129">
        <v>22</v>
      </c>
      <c r="B129" t="s">
        <v>107</v>
      </c>
      <c r="C129" s="2" t="s">
        <v>130</v>
      </c>
      <c r="D129" s="2">
        <v>74988.7</v>
      </c>
      <c r="E129" s="3">
        <v>14.9350748876532</v>
      </c>
      <c r="F129">
        <v>62490</v>
      </c>
      <c r="G129" t="s">
        <v>641</v>
      </c>
      <c r="H129" t="s">
        <v>180</v>
      </c>
      <c r="I129" t="s">
        <v>642</v>
      </c>
      <c r="J129" t="s">
        <v>168</v>
      </c>
      <c r="K129" t="s">
        <v>643</v>
      </c>
      <c r="L129" s="5" t="s">
        <v>129</v>
      </c>
    </row>
    <row r="130" spans="1:12">
      <c r="A130">
        <v>22</v>
      </c>
      <c r="B130" t="s">
        <v>107</v>
      </c>
      <c r="C130" s="2" t="s">
        <v>136</v>
      </c>
      <c r="D130" s="2">
        <v>74001.8</v>
      </c>
      <c r="E130" s="3">
        <v>13.4224546474487</v>
      </c>
      <c r="F130">
        <v>62506</v>
      </c>
      <c r="G130" t="s">
        <v>644</v>
      </c>
      <c r="H130" t="s">
        <v>645</v>
      </c>
      <c r="I130" t="s">
        <v>646</v>
      </c>
      <c r="J130" t="s">
        <v>647</v>
      </c>
      <c r="K130" t="s">
        <v>648</v>
      </c>
      <c r="L130" s="5" t="s">
        <v>129</v>
      </c>
    </row>
    <row r="131" spans="1:12">
      <c r="A131">
        <v>22</v>
      </c>
      <c r="B131" t="s">
        <v>107</v>
      </c>
      <c r="C131" s="2" t="s">
        <v>141</v>
      </c>
      <c r="D131" s="2">
        <v>78387.1</v>
      </c>
      <c r="E131" s="3">
        <v>20.1437977818786</v>
      </c>
      <c r="F131">
        <v>62877</v>
      </c>
      <c r="G131" t="s">
        <v>649</v>
      </c>
      <c r="H131" t="s">
        <v>650</v>
      </c>
      <c r="I131" t="s">
        <v>651</v>
      </c>
      <c r="J131" t="s">
        <v>652</v>
      </c>
      <c r="K131" t="s">
        <v>653</v>
      </c>
      <c r="L131" s="5" t="s">
        <v>129</v>
      </c>
    </row>
    <row r="132" spans="1:12">
      <c r="A132">
        <v>22</v>
      </c>
      <c r="B132" t="s">
        <v>107</v>
      </c>
      <c r="C132" s="2" t="s">
        <v>147</v>
      </c>
      <c r="D132" s="2">
        <v>74061.7</v>
      </c>
      <c r="E132" s="3">
        <v>13.5142632930949</v>
      </c>
      <c r="F132">
        <v>62415</v>
      </c>
      <c r="G132" t="s">
        <v>654</v>
      </c>
      <c r="H132" t="s">
        <v>655</v>
      </c>
      <c r="I132" t="s">
        <v>656</v>
      </c>
      <c r="J132" t="s">
        <v>657</v>
      </c>
      <c r="K132" t="s">
        <v>658</v>
      </c>
      <c r="L132" s="5" t="s">
        <v>129</v>
      </c>
    </row>
    <row r="133" spans="1:12">
      <c r="A133">
        <v>22</v>
      </c>
      <c r="B133" t="s">
        <v>107</v>
      </c>
      <c r="C133" t="s">
        <v>6</v>
      </c>
      <c r="D133">
        <v>73460.7</v>
      </c>
      <c r="E133" s="3">
        <v>12.5931114394492</v>
      </c>
      <c r="F133">
        <v>61301</v>
      </c>
      <c r="G133" t="s">
        <v>549</v>
      </c>
      <c r="H133" t="s">
        <v>659</v>
      </c>
      <c r="I133" t="s">
        <v>660</v>
      </c>
      <c r="J133" t="s">
        <v>661</v>
      </c>
      <c r="K133" t="s">
        <v>662</v>
      </c>
      <c r="L133" s="5" t="s">
        <v>129</v>
      </c>
    </row>
    <row r="134" spans="1:12">
      <c r="A134">
        <v>23</v>
      </c>
      <c r="B134" t="s">
        <v>109</v>
      </c>
      <c r="C134" s="2" t="s">
        <v>18</v>
      </c>
      <c r="D134" s="2">
        <v>65244.4</v>
      </c>
      <c r="E134" s="3">
        <v>0</v>
      </c>
      <c r="F134">
        <v>62222</v>
      </c>
      <c r="G134" t="s">
        <v>299</v>
      </c>
      <c r="H134" t="s">
        <v>300</v>
      </c>
      <c r="I134" t="s">
        <v>274</v>
      </c>
      <c r="J134" t="s">
        <v>274</v>
      </c>
      <c r="K134" t="s">
        <v>274</v>
      </c>
      <c r="L134" s="5" t="s">
        <v>157</v>
      </c>
    </row>
    <row r="135" spans="1:12">
      <c r="A135">
        <v>23</v>
      </c>
      <c r="B135" t="s">
        <v>109</v>
      </c>
      <c r="C135" s="2" t="s">
        <v>130</v>
      </c>
      <c r="D135" s="2">
        <v>74986.3</v>
      </c>
      <c r="E135" s="3">
        <v>14.931396411033</v>
      </c>
      <c r="F135">
        <v>62486</v>
      </c>
      <c r="G135" t="s">
        <v>180</v>
      </c>
      <c r="H135" t="s">
        <v>423</v>
      </c>
      <c r="I135" t="s">
        <v>663</v>
      </c>
      <c r="J135" t="s">
        <v>664</v>
      </c>
      <c r="K135" t="s">
        <v>665</v>
      </c>
      <c r="L135" s="5" t="s">
        <v>129</v>
      </c>
    </row>
    <row r="136" spans="1:12">
      <c r="A136">
        <v>23</v>
      </c>
      <c r="B136" t="s">
        <v>109</v>
      </c>
      <c r="C136" s="2" t="s">
        <v>136</v>
      </c>
      <c r="D136" s="2">
        <v>73958.4</v>
      </c>
      <c r="E136" s="3">
        <v>13.3559355285664</v>
      </c>
      <c r="F136">
        <v>62470</v>
      </c>
      <c r="G136" t="s">
        <v>666</v>
      </c>
      <c r="H136" t="s">
        <v>667</v>
      </c>
      <c r="I136" t="s">
        <v>668</v>
      </c>
      <c r="J136" t="s">
        <v>669</v>
      </c>
      <c r="K136" t="s">
        <v>670</v>
      </c>
      <c r="L136" s="5" t="s">
        <v>129</v>
      </c>
    </row>
    <row r="137" spans="1:12">
      <c r="A137">
        <v>23</v>
      </c>
      <c r="B137" t="s">
        <v>109</v>
      </c>
      <c r="C137" s="2" t="s">
        <v>141</v>
      </c>
      <c r="D137" s="2">
        <v>78178.9</v>
      </c>
      <c r="E137" s="3">
        <v>19.8246899350749</v>
      </c>
      <c r="F137">
        <v>62853</v>
      </c>
      <c r="G137" t="s">
        <v>671</v>
      </c>
      <c r="H137" t="s">
        <v>645</v>
      </c>
      <c r="I137" t="s">
        <v>672</v>
      </c>
      <c r="J137" t="s">
        <v>673</v>
      </c>
      <c r="K137" t="s">
        <v>674</v>
      </c>
      <c r="L137" s="5" t="s">
        <v>129</v>
      </c>
    </row>
    <row r="138" spans="1:12">
      <c r="A138">
        <v>23</v>
      </c>
      <c r="B138" t="s">
        <v>109</v>
      </c>
      <c r="C138" s="2" t="s">
        <v>147</v>
      </c>
      <c r="D138" s="2">
        <v>74976.9</v>
      </c>
      <c r="E138" s="3">
        <v>14.9169890442704</v>
      </c>
      <c r="F138">
        <v>62412</v>
      </c>
      <c r="G138" t="s">
        <v>675</v>
      </c>
      <c r="H138" t="s">
        <v>676</v>
      </c>
      <c r="I138" t="s">
        <v>677</v>
      </c>
      <c r="J138" t="s">
        <v>678</v>
      </c>
      <c r="K138" t="s">
        <v>679</v>
      </c>
      <c r="L138" s="5" t="s">
        <v>129</v>
      </c>
    </row>
    <row r="139" spans="1:12">
      <c r="A139">
        <v>23</v>
      </c>
      <c r="B139" t="s">
        <v>109</v>
      </c>
      <c r="C139" t="s">
        <v>6</v>
      </c>
      <c r="D139">
        <v>74041</v>
      </c>
      <c r="E139" s="3">
        <v>13.4825364322455</v>
      </c>
      <c r="F139">
        <v>61358</v>
      </c>
      <c r="G139" t="s">
        <v>680</v>
      </c>
      <c r="H139" t="s">
        <v>681</v>
      </c>
      <c r="I139" t="s">
        <v>682</v>
      </c>
      <c r="J139" t="s">
        <v>683</v>
      </c>
      <c r="K139" t="s">
        <v>467</v>
      </c>
      <c r="L139" s="5" t="s">
        <v>129</v>
      </c>
    </row>
    <row r="140" spans="1:12">
      <c r="A140">
        <v>24</v>
      </c>
      <c r="B140" t="s">
        <v>111</v>
      </c>
      <c r="C140" s="2" t="s">
        <v>18</v>
      </c>
      <c r="D140" s="2">
        <v>69638.8</v>
      </c>
      <c r="E140" s="3">
        <v>0</v>
      </c>
      <c r="F140">
        <v>62332</v>
      </c>
      <c r="G140" t="s">
        <v>346</v>
      </c>
      <c r="H140" t="s">
        <v>347</v>
      </c>
      <c r="I140" t="s">
        <v>348</v>
      </c>
      <c r="J140" t="s">
        <v>349</v>
      </c>
      <c r="K140" t="s">
        <v>274</v>
      </c>
      <c r="L140" s="5" t="s">
        <v>157</v>
      </c>
    </row>
    <row r="141" spans="1:12">
      <c r="A141">
        <v>24</v>
      </c>
      <c r="B141" t="s">
        <v>111</v>
      </c>
      <c r="C141" s="2" t="s">
        <v>130</v>
      </c>
      <c r="D141" s="2">
        <v>74981</v>
      </c>
      <c r="E141" s="3">
        <v>7.6712981843455</v>
      </c>
      <c r="F141">
        <v>62491</v>
      </c>
      <c r="G141" t="s">
        <v>228</v>
      </c>
      <c r="H141" t="s">
        <v>589</v>
      </c>
      <c r="I141" t="s">
        <v>589</v>
      </c>
      <c r="J141" t="s">
        <v>471</v>
      </c>
      <c r="K141" t="s">
        <v>353</v>
      </c>
      <c r="L141" s="5" t="s">
        <v>129</v>
      </c>
    </row>
    <row r="142" spans="1:12">
      <c r="A142">
        <v>24</v>
      </c>
      <c r="B142" t="s">
        <v>111</v>
      </c>
      <c r="C142" s="2" t="s">
        <v>136</v>
      </c>
      <c r="D142" s="2">
        <v>73913.5</v>
      </c>
      <c r="E142" s="3">
        <v>6.13838836970194</v>
      </c>
      <c r="F142">
        <v>62435</v>
      </c>
      <c r="G142" t="s">
        <v>684</v>
      </c>
      <c r="H142" t="s">
        <v>685</v>
      </c>
      <c r="I142" t="s">
        <v>686</v>
      </c>
      <c r="J142" t="s">
        <v>687</v>
      </c>
      <c r="K142" t="s">
        <v>688</v>
      </c>
      <c r="L142" s="5" t="s">
        <v>129</v>
      </c>
    </row>
    <row r="143" spans="1:12">
      <c r="A143">
        <v>24</v>
      </c>
      <c r="B143" t="s">
        <v>111</v>
      </c>
      <c r="C143" s="2" t="s">
        <v>141</v>
      </c>
      <c r="D143" s="2">
        <v>77723.7</v>
      </c>
      <c r="E143" s="3">
        <v>11.6097635226339</v>
      </c>
      <c r="F143">
        <v>62842</v>
      </c>
      <c r="G143" t="s">
        <v>689</v>
      </c>
      <c r="H143" t="s">
        <v>690</v>
      </c>
      <c r="I143" t="s">
        <v>691</v>
      </c>
      <c r="J143" t="s">
        <v>586</v>
      </c>
      <c r="K143" t="s">
        <v>692</v>
      </c>
      <c r="L143" s="5" t="s">
        <v>129</v>
      </c>
    </row>
    <row r="144" spans="1:12">
      <c r="A144">
        <v>24</v>
      </c>
      <c r="B144" t="s">
        <v>111</v>
      </c>
      <c r="C144" s="2" t="s">
        <v>147</v>
      </c>
      <c r="D144" s="2">
        <v>74634.4</v>
      </c>
      <c r="E144" s="3">
        <v>7.17358713820455</v>
      </c>
      <c r="F144">
        <v>62443</v>
      </c>
      <c r="G144" t="s">
        <v>693</v>
      </c>
      <c r="H144" t="s">
        <v>694</v>
      </c>
      <c r="I144" t="s">
        <v>695</v>
      </c>
      <c r="J144" t="s">
        <v>696</v>
      </c>
      <c r="K144" t="s">
        <v>697</v>
      </c>
      <c r="L144" s="5" t="s">
        <v>129</v>
      </c>
    </row>
    <row r="145" spans="1:12">
      <c r="A145">
        <v>24</v>
      </c>
      <c r="B145" t="s">
        <v>111</v>
      </c>
      <c r="C145" t="s">
        <v>6</v>
      </c>
      <c r="D145">
        <v>73689.7</v>
      </c>
      <c r="E145" s="3">
        <v>5.81701580153592</v>
      </c>
      <c r="F145">
        <v>61495</v>
      </c>
      <c r="G145" t="s">
        <v>482</v>
      </c>
      <c r="H145" t="s">
        <v>698</v>
      </c>
      <c r="I145" t="s">
        <v>699</v>
      </c>
      <c r="J145" t="s">
        <v>700</v>
      </c>
      <c r="K145" t="s">
        <v>701</v>
      </c>
      <c r="L145" s="5" t="s">
        <v>129</v>
      </c>
    </row>
    <row r="146" spans="1:12">
      <c r="A146">
        <v>25</v>
      </c>
      <c r="B146" t="s">
        <v>113</v>
      </c>
      <c r="C146" s="2" t="s">
        <v>18</v>
      </c>
      <c r="D146" s="2">
        <v>72021.4</v>
      </c>
      <c r="E146" s="3">
        <v>0</v>
      </c>
      <c r="F146">
        <v>62323</v>
      </c>
      <c r="G146" t="s">
        <v>372</v>
      </c>
      <c r="H146" t="s">
        <v>373</v>
      </c>
      <c r="I146" t="s">
        <v>374</v>
      </c>
      <c r="J146" t="s">
        <v>375</v>
      </c>
      <c r="K146" t="s">
        <v>274</v>
      </c>
      <c r="L146" s="5" t="s">
        <v>157</v>
      </c>
    </row>
    <row r="147" spans="1:12">
      <c r="A147">
        <v>25</v>
      </c>
      <c r="B147" t="s">
        <v>113</v>
      </c>
      <c r="C147" s="2" t="s">
        <v>130</v>
      </c>
      <c r="D147" s="2">
        <v>75255</v>
      </c>
      <c r="E147" s="3">
        <v>4.48977664971801</v>
      </c>
      <c r="F147">
        <v>62575</v>
      </c>
      <c r="G147" t="s">
        <v>595</v>
      </c>
      <c r="H147" t="s">
        <v>702</v>
      </c>
      <c r="I147" t="s">
        <v>703</v>
      </c>
      <c r="J147" t="s">
        <v>704</v>
      </c>
      <c r="K147" t="s">
        <v>705</v>
      </c>
      <c r="L147" s="5" t="s">
        <v>129</v>
      </c>
    </row>
    <row r="148" spans="1:12">
      <c r="A148">
        <v>25</v>
      </c>
      <c r="B148" t="s">
        <v>113</v>
      </c>
      <c r="C148" s="2" t="s">
        <v>136</v>
      </c>
      <c r="D148" s="2">
        <v>74564.6</v>
      </c>
      <c r="E148" s="3">
        <v>3.53117267923147</v>
      </c>
      <c r="F148">
        <v>62433</v>
      </c>
      <c r="G148" t="s">
        <v>706</v>
      </c>
      <c r="H148" t="s">
        <v>707</v>
      </c>
      <c r="I148" t="s">
        <v>708</v>
      </c>
      <c r="J148" t="s">
        <v>709</v>
      </c>
      <c r="K148" t="s">
        <v>710</v>
      </c>
      <c r="L148" s="5" t="s">
        <v>129</v>
      </c>
    </row>
    <row r="149" spans="1:12">
      <c r="A149">
        <v>25</v>
      </c>
      <c r="B149" t="s">
        <v>113</v>
      </c>
      <c r="C149" s="2" t="s">
        <v>141</v>
      </c>
      <c r="D149" s="2">
        <v>77943.4</v>
      </c>
      <c r="E149" s="3">
        <v>8.22255607361146</v>
      </c>
      <c r="F149">
        <v>62553</v>
      </c>
      <c r="G149" t="s">
        <v>711</v>
      </c>
      <c r="H149" t="s">
        <v>712</v>
      </c>
      <c r="I149" t="s">
        <v>713</v>
      </c>
      <c r="J149" t="s">
        <v>714</v>
      </c>
      <c r="K149" t="s">
        <v>715</v>
      </c>
      <c r="L149" s="5" t="s">
        <v>129</v>
      </c>
    </row>
    <row r="150" spans="1:12">
      <c r="A150">
        <v>25</v>
      </c>
      <c r="B150" t="s">
        <v>113</v>
      </c>
      <c r="C150" s="2" t="s">
        <v>147</v>
      </c>
      <c r="D150" s="2">
        <v>77088.9</v>
      </c>
      <c r="E150" s="3">
        <v>7.03610315822797</v>
      </c>
      <c r="F150">
        <v>62525</v>
      </c>
      <c r="G150" t="s">
        <v>716</v>
      </c>
      <c r="H150" t="s">
        <v>717</v>
      </c>
      <c r="I150" t="s">
        <v>612</v>
      </c>
      <c r="J150" t="s">
        <v>718</v>
      </c>
      <c r="K150" t="s">
        <v>719</v>
      </c>
      <c r="L150" s="5" t="s">
        <v>129</v>
      </c>
    </row>
    <row r="151" spans="1:12">
      <c r="A151">
        <v>25</v>
      </c>
      <c r="B151" t="s">
        <v>113</v>
      </c>
      <c r="C151" t="s">
        <v>6</v>
      </c>
      <c r="D151">
        <v>75246.8</v>
      </c>
      <c r="E151" s="3">
        <v>4.47839114485418</v>
      </c>
      <c r="F151">
        <v>61368</v>
      </c>
      <c r="G151" t="s">
        <v>720</v>
      </c>
      <c r="H151" t="s">
        <v>721</v>
      </c>
      <c r="I151" t="s">
        <v>722</v>
      </c>
      <c r="J151" t="s">
        <v>723</v>
      </c>
      <c r="K151" t="s">
        <v>724</v>
      </c>
      <c r="L151" s="5" t="s">
        <v>129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151" etc:filterBottomFollowUsedRange="0">
    <sortState ref="A1:L151">
      <sortCondition ref="A1:A126"/>
    </sortState>
    <extLst/>
  </autoFilter>
  <sortState ref="A2:L153">
    <sortCondition ref="A1:A153"/>
  </sortState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2658413001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1"/>
  <pixelatorList sheetStid="2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对比表格</vt:lpstr>
      <vt:lpstr>20轮平均值统计</vt:lpstr>
      <vt:lpstr>第20轮记录值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 yi</cp:lastModifiedBy>
  <dcterms:created xsi:type="dcterms:W3CDTF">2026-05-31T01:47:00Z</dcterms:created>
  <dcterms:modified xsi:type="dcterms:W3CDTF">2026-05-31T08:19:00Z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2052-12.9.0.26832</vt:lpwstr>
  </property>
  <property fmtid="{D5CDD505-2E9C-101B-9397-08002B2CF9AE}" pid="3" name="CalculationRule">
    <vt:i4>0</vt:i4>
  </property>
</Properties>
</file>